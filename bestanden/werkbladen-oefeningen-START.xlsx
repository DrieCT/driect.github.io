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s mij" sheetId="1" state="visible" r:id="rId3"/>
    <sheet name="1 Lening" sheetId="2" state="visible" r:id="rId4"/>
    <sheet name="2 Sparen" sheetId="3" state="visible" r:id="rId5"/>
    <sheet name="3 Onderdelen" sheetId="4" state="visible" r:id="rId6"/>
    <sheet name="4 Prijsevolutie" sheetId="5" state="visible" r:id="rId7"/>
    <sheet name="5 XLOOKUP en korting" sheetId="6" state="visible" r:id="rId8"/>
    <sheet name="Gegeven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<sst xmlns="http://schemas.openxmlformats.org/spreadsheetml/2006/main" count="145" uniqueCount="131">
  <si>
    <t xml:space="preserve">Werkbladen — oefeningenbundel</t>
  </si>
  <si>
    <t xml:space="preserve">Naam en klas:</t>
  </si>
  <si>
    <t xml:space="preserve">Wat moet je doen?</t>
  </si>
  <si>
    <t xml:space="preserve">Deze bundel heeft zes werkbladen (zie de tabbladen onderaan). Vul de gekleurde cellen in met een FORMULE — niet met een getal dat je zelf hebt uitgerekend. Op het blad Gegevens verander je niets: dat is de bron waarnaar je zoekfuncties verwijzen.</t>
  </si>
  <si>
    <t xml:space="preserve">Legende</t>
  </si>
  <si>
    <t xml:space="preserve">gele cel = hier vul jij een formule in</t>
  </si>
  <si>
    <t xml:space="preserve">blauw vakje = oefening 1, de afbetaling met BET</t>
  </si>
  <si>
    <t xml:space="preserve">groen vakje = oefening 1, het leenbedrag met HW</t>
  </si>
  <si>
    <t xml:space="preserve">voorbeeld</t>
  </si>
  <si>
    <t xml:space="preserve">cursief en grijs = al ingevuld als voorbeeld; kijk hoe de formule werkt</t>
  </si>
  <si>
    <t xml:space="preserve">Hulp nodig?</t>
  </si>
  <si>
    <t xml:space="preserve">Op de cursuspagina's Werkbladen (basis, financieel en zoeken) staat alles wat je hier nodig hebt, met schema's en fiches.</t>
  </si>
  <si>
    <t xml:space="preserve">Puntkomma of komma?</t>
  </si>
  <si>
    <t xml:space="preserve">In deze bundel scheiden we de argumenten van een functie met een puntkomma, bv. =SOM(B2;B3). Typt jouw Sheets liever een komma, dan staat de regio anders ingesteld: Bestand → Instellingen → Landinstelling. Allebei is goed, als je maar consequent bent met wat jouw bestand verwacht.</t>
  </si>
  <si>
    <t xml:space="preserve">Oefening 1 — Een lening voor een nieuwe wagen</t>
  </si>
  <si>
    <t xml:space="preserve">Gebruik de functie BET om de jaarlijkse afbetaling te berekenen van een nieuwe auto in het blauwe vakje.</t>
  </si>
  <si>
    <t xml:space="preserve">Gebruik de HW (huidige waarde) om in het groene vakje de maximumprijs te berekenen van een wagen die ik wel zou kunnen betalen.</t>
  </si>
  <si>
    <t xml:space="preserve">Prijs van de nieuwe wagen die ik wil kopen:</t>
  </si>
  <si>
    <t xml:space="preserve">Jaarlijkse rente die ik bij de bank moet betalen voor lening:</t>
  </si>
  <si>
    <t xml:space="preserve">Ik wil afbetalen op dit aantal jaren:</t>
  </si>
  <si>
    <t xml:space="preserve">Dan moet ik per jaar dit bedrag betalen:</t>
  </si>
  <si>
    <t xml:space="preserve">Geld dat ik per maand aan de kant kan zetten voor mijn wagen:</t>
  </si>
  <si>
    <t xml:space="preserve">Per jaar is dit dan:</t>
  </si>
  <si>
    <t xml:space="preserve">Bedrag waarvoor ik kan lenen:</t>
  </si>
  <si>
    <t xml:space="preserve">Extra</t>
  </si>
  <si>
    <t xml:space="preserve">Wat betaal ik in totaal terug na 5 jaar?</t>
  </si>
  <si>
    <t xml:space="preserve">Hoeveel rente kost die lening mij in totaal?</t>
  </si>
  <si>
    <t xml:space="preserve">Wat als ik maandelijks afbetaal in plaats van jaarlijks?</t>
  </si>
  <si>
    <t xml:space="preserve">Rente en looptijd moeten over dezelfde periode gaan. Deel de rente door 12 en vermenigvuldig het aantal jaren met 12. Vergeet je dat, dan rekent Sheets met 3% per maand.</t>
  </si>
  <si>
    <t xml:space="preserve">Functies die je hier kunt gebruiken (klik voor de uitleg)</t>
  </si>
  <si>
    <t xml:space="preserve">BET</t>
  </si>
  <si>
    <t xml:space="preserve">de afbetaling per periode</t>
  </si>
  <si>
    <t xml:space="preserve">HW</t>
  </si>
  <si>
    <t xml:space="preserve">de huidige waarde: hoeveel kan ik lenen?</t>
  </si>
  <si>
    <t xml:space="preserve">RENTE</t>
  </si>
  <si>
    <t xml:space="preserve">het rentepercentage (niet nodig voor deze oefening)</t>
  </si>
  <si>
    <t xml:space="preserve">TW</t>
  </si>
  <si>
    <t xml:space="preserve">de toekomstige waarde (niet nodig voor deze oefening)</t>
  </si>
  <si>
    <t xml:space="preserve">Let op: een bedrag dat je betaalt is negatief, een bedrag dat je ontvangt positief. Rente en looptijd moeten over dezelfde periode gaan.</t>
  </si>
  <si>
    <t xml:space="preserve">Oefening 2 — Sparen in plaats van lenen</t>
  </si>
  <si>
    <t xml:space="preserve">In plaats van te lenen zet ik elke maand een bedrag opzij. Gebruik TW (toekomstige waarde) om te berekenen hoeveel ik dan bij elkaar spaar.</t>
  </si>
  <si>
    <t xml:space="preserve">Bedrag dat ik elke maand opzijzet:</t>
  </si>
  <si>
    <t xml:space="preserve">Jaarlijkse rente op mijn spaarrekening:</t>
  </si>
  <si>
    <t xml:space="preserve">Aantal jaren dat ik spaar:</t>
  </si>
  <si>
    <t xml:space="preserve">Hoeveel staat er na die jaren op mijn rekening?</t>
  </si>
  <si>
    <t xml:space="preserve">Hoeveel heb ik er zelf op gestort?</t>
  </si>
  <si>
    <t xml:space="preserve">Hoeveel daarvan is intrest?</t>
  </si>
  <si>
    <t xml:space="preserve">Denkvraag: vergelijk met oefening 1. Kan ik na 5 jaar sparen de wagen van € 16.000 kopen? Schrijf je antwoord in één zin.</t>
  </si>
  <si>
    <t xml:space="preserve">Oefening 3 — Een pc samenstellen met VERT.ZOEKEN</t>
  </si>
  <si>
    <t xml:space="preserve">De configuratie van een pc staat al klaar: de artikelcodes en de aantallen zijn ingevuld. In rij 7 staan de formules al als voorbeeld. Trek ze door naar beneden tot en met rij 14, zodat elke rij zijn onderdeel, prijs en totaal ophaalt uit het blad Gegevens. Selecteer daarvoor B7 tot E7, pak het blauwe vierkantje rechtsonder de selectie vast en sleep tot rij 14.</t>
  </si>
  <si>
    <t xml:space="preserve">Code</t>
  </si>
  <si>
    <t xml:space="preserve">Onderdeel</t>
  </si>
  <si>
    <t xml:space="preserve">Prijs</t>
  </si>
  <si>
    <t xml:space="preserve">Aantal</t>
  </si>
  <si>
    <t xml:space="preserve">Totaal</t>
  </si>
  <si>
    <t xml:space="preserve">Opmerking</t>
  </si>
  <si>
    <t xml:space="preserve">CPU-01</t>
  </si>
  <si>
    <t xml:space="preserve">voorbeeld: trek deze formules door naar beneden</t>
  </si>
  <si>
    <t xml:space="preserve">MOB-02</t>
  </si>
  <si>
    <t xml:space="preserve">RAM-16</t>
  </si>
  <si>
    <t xml:space="preserve">SSD-1T</t>
  </si>
  <si>
    <t xml:space="preserve">GPU-03</t>
  </si>
  <si>
    <t xml:space="preserve">PSU-650</t>
  </si>
  <si>
    <t xml:space="preserve">CAS-01</t>
  </si>
  <si>
    <t xml:space="preserve">GPU-99</t>
  </si>
  <si>
    <t xml:space="preserve">deze code bestaat niet, kijk wat er gebeurt</t>
  </si>
  <si>
    <t xml:space="preserve">Totaalprijs van de pc</t>
  </si>
  <si>
    <t xml:space="preserve">Aantal onderdelen</t>
  </si>
  <si>
    <t xml:space="preserve">Gemiddelde prijs per onderdeel</t>
  </si>
  <si>
    <t xml:space="preserve">Duurste onderdeel in deze lijst</t>
  </si>
  <si>
    <t xml:space="preserve">Opmaak (doe dit pas als je formules werken)</t>
  </si>
  <si>
    <t xml:space="preserve">• Zet een dikke buitenrand rond de tabel en maak de koprij vet met een lichte achtergrond.
• Toon alle bedragen in euro met twee decimalen.
• Kleur met voorwaardelijke opmaak elke rij waarvan het totaal hoger is dan € 150.
• Sorteer de tabel van duur naar goedkoop — selecteer het volledige bereik, niet één kolom.</t>
  </si>
  <si>
    <t xml:space="preserve">Oefening 4 — Prijsevolutie met HORIZ.ZOEKEN</t>
  </si>
  <si>
    <t xml:space="preserve">Op het blad Gegevens staat de gemiddelde prijs van een videokaart per kwartaal, naast elkaar. Zoek de cijfers op zonder ze over te typen.</t>
  </si>
  <si>
    <t xml:space="preserve">Vraag</t>
  </si>
  <si>
    <t xml:space="preserve">Kwartaal</t>
  </si>
  <si>
    <t xml:space="preserve">Antwoord</t>
  </si>
  <si>
    <t xml:space="preserve">Gemiddelde prijs videokaart  (HORIZ.ZOEKEN)</t>
  </si>
  <si>
    <t xml:space="preserve">Q3</t>
  </si>
  <si>
    <t xml:space="preserve">Aantal verkochte videokaarten in dat kwartaal</t>
  </si>
  <si>
    <t xml:space="preserve">Gemiddelde prijs over het hele jaar</t>
  </si>
  <si>
    <t xml:space="preserve">Duurste kwartaal  (tip: MAX)</t>
  </si>
  <si>
    <t xml:space="preserve">Verschil tussen het duurste en het goedkoopste kwartaal</t>
  </si>
  <si>
    <t xml:space="preserve">Diagram</t>
  </si>
  <si>
    <t xml:space="preserve">Maak een lijndiagram van de gemiddelde prijs per kwartaal, met een duidelijke titel en een astitel met de eenheid. Maak daarnaast een kolomdiagram van het aantal verkochte stuks.</t>
  </si>
  <si>
    <t xml:space="preserve">Oefening 5 — XLOOKUP en kortingschijven</t>
  </si>
  <si>
    <t xml:space="preserve">Dezelfde opzoeking, maar met de moderne functie. En een korting die afhangt van het aantal stuks dat de winkel bestelt.</t>
  </si>
  <si>
    <t xml:space="preserve">Deel 1 — XLOOKUP</t>
  </si>
  <si>
    <t xml:space="preserve">Artikelcode</t>
  </si>
  <si>
    <t xml:space="preserve">SSD-2T</t>
  </si>
  <si>
    <t xml:space="preserve">Onderdeel  (met XLOOKUP)</t>
  </si>
  <si>
    <t xml:space="preserve">Prijs  (met XLOOKUP)</t>
  </si>
  <si>
    <t xml:space="preserve">Zoek nu de code bij het onderdeel 'Voeding 650 W 80+ Gold'.</t>
  </si>
  <si>
    <t xml:space="preserve">Waarom lukt die laatste opzoeking niet met VERT.ZOEKEN?</t>
  </si>
  <si>
    <t xml:space="preserve">Deel 2 — kortingschijven</t>
  </si>
  <si>
    <t xml:space="preserve">De winkel koopt in bij de groothandel en krijgt korting vanaf een bepaald aantal stuks. Hier zoek je niet exact, maar benaderend: in welke schijf valt het aantal?</t>
  </si>
  <si>
    <t xml:space="preserve">Aantal stuks</t>
  </si>
  <si>
    <t xml:space="preserve">Korting</t>
  </si>
  <si>
    <t xml:space="preserve">Bedrag voor korting</t>
  </si>
  <si>
    <t xml:space="preserve">Te betalen</t>
  </si>
  <si>
    <t xml:space="preserve">Gegevens — niet wijzigen</t>
  </si>
  <si>
    <t xml:space="preserve">Computeronderdelen</t>
  </si>
  <si>
    <t xml:space="preserve">Kortingschijven groothandel</t>
  </si>
  <si>
    <t xml:space="preserve">Vanaf aantal</t>
  </si>
  <si>
    <t xml:space="preserve">Behuizing midi-tower met glazen zijpaneel</t>
  </si>
  <si>
    <t xml:space="preserve">Processor 6 cores, 4,1 GHz</t>
  </si>
  <si>
    <t xml:space="preserve">CPU-02</t>
  </si>
  <si>
    <t xml:space="preserve">Processor 8 cores, 4,5 GHz</t>
  </si>
  <si>
    <t xml:space="preserve">CPU-03</t>
  </si>
  <si>
    <t xml:space="preserve">Processor 12 cores, 5,0 GHz</t>
  </si>
  <si>
    <t xml:space="preserve">GPU-01</t>
  </si>
  <si>
    <t xml:space="preserve">Videokaart 8 GB instapmodel</t>
  </si>
  <si>
    <t xml:space="preserve">GPU-02</t>
  </si>
  <si>
    <t xml:space="preserve">Videokaart 12 GB middenklasse</t>
  </si>
  <si>
    <t xml:space="preserve">Videokaart 16 GB high-end</t>
  </si>
  <si>
    <t xml:space="preserve">oplopend gesorteerd — nodig voor benaderend zoeken</t>
  </si>
  <si>
    <t xml:space="preserve">HDD-4T</t>
  </si>
  <si>
    <t xml:space="preserve">Harde schijf 4 TB 7200 rpm</t>
  </si>
  <si>
    <t xml:space="preserve">MOB-01</t>
  </si>
  <si>
    <t xml:space="preserve">Moederbord micro-ATX</t>
  </si>
  <si>
    <t xml:space="preserve">Moederbord ATX met wifi</t>
  </si>
  <si>
    <t xml:space="preserve">Voeding 650 W 80+ Gold</t>
  </si>
  <si>
    <t xml:space="preserve">Geheugen 16 GB DDR5</t>
  </si>
  <si>
    <t xml:space="preserve">SSD 1 TB NVMe</t>
  </si>
  <si>
    <t xml:space="preserve">SSD 2 TB NVMe</t>
  </si>
  <si>
    <t xml:space="preserve">Gemiddelde prijs videokaarten per kwartaal</t>
  </si>
  <si>
    <t xml:space="preserve">Q1</t>
  </si>
  <si>
    <t xml:space="preserve">Q2</t>
  </si>
  <si>
    <t xml:space="preserve">Q4</t>
  </si>
  <si>
    <t xml:space="preserve">Gemiddelde prijs</t>
  </si>
  <si>
    <t xml:space="preserve">Verkochte stuks</t>
  </si>
</sst>
</file>

<file path=xl/styles.xml><?xml version="1.0" encoding="utf-8"?>
<styleSheet xmlns="http://schemas.openxmlformats.org/spreadsheetml/2006/main">
  <numFmts count="4">
    <numFmt numFmtId="164" formatCode="General"/>
    <numFmt numFmtId="165" formatCode="&quot;€ &quot;#,##0"/>
    <numFmt numFmtId="166" formatCode="0.0%"/>
    <numFmt numFmtId="167" formatCode="&quot;€ &quot;#,##0.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color rgb="FF000000"/>
      <name val="Arial"/>
      <family val="0"/>
      <charset val="1"/>
    </font>
    <font>
      <sz val="11"/>
      <color rgb="FF000000"/>
      <name val="Arial"/>
      <family val="0"/>
      <charset val="1"/>
    </font>
    <font>
      <b val="true"/>
      <sz val="12"/>
      <color rgb="FF000000"/>
      <name val="Arial"/>
      <family val="0"/>
      <charset val="1"/>
    </font>
    <font>
      <i val="true"/>
      <sz val="11"/>
      <color rgb="FF7A8699"/>
      <name val="Arial"/>
      <family val="0"/>
      <charset val="1"/>
    </font>
    <font>
      <b val="true"/>
      <sz val="12"/>
      <name val="Arial"/>
      <family val="0"/>
      <charset val="1"/>
    </font>
    <font>
      <sz val="11"/>
      <name val="Arial"/>
      <family val="0"/>
      <charset val="1"/>
    </font>
    <font>
      <i val="true"/>
      <sz val="10"/>
      <color rgb="FF7A8699"/>
      <name val="Arial"/>
      <family val="0"/>
      <charset val="1"/>
    </font>
    <font>
      <b val="true"/>
      <u val="single"/>
      <sz val="11"/>
      <color rgb="FF0563C1"/>
      <name val="Arial"/>
      <family val="0"/>
      <charset val="1"/>
    </font>
    <font>
      <i val="true"/>
      <sz val="9"/>
      <color rgb="FF7A8699"/>
      <name val="Arial"/>
      <family val="0"/>
      <charset val="1"/>
    </font>
  </fonts>
  <fills count="7">
    <fill>
      <patternFill patternType="none"/>
    </fill>
    <fill>
      <patternFill patternType="gray125"/>
    </fill>
    <fill>
      <patternFill patternType="solid">
        <fgColor rgb="FFDCE6F5"/>
        <bgColor rgb="FFEDF0F5"/>
      </patternFill>
    </fill>
    <fill>
      <patternFill patternType="solid">
        <fgColor rgb="FFFFF2A8"/>
        <bgColor rgb="FFFFFFCC"/>
      </patternFill>
    </fill>
    <fill>
      <patternFill patternType="solid">
        <fgColor rgb="FFBDD7EE"/>
        <bgColor rgb="FFDCE6F5"/>
      </patternFill>
    </fill>
    <fill>
      <patternFill patternType="solid">
        <fgColor rgb="FFC6E0B4"/>
        <bgColor rgb="FFBDD7EE"/>
      </patternFill>
    </fill>
    <fill>
      <patternFill patternType="solid">
        <fgColor rgb="FFEDF0F5"/>
        <bgColor rgb="FFDCE6F5"/>
      </patternFill>
    </fill>
  </fills>
  <borders count="2">
    <border diagonalUp="false" diagonalDown="false">
      <left/>
      <right/>
      <top/>
      <bottom/>
      <diagonal/>
    </border>
    <border diagonalUp="false" diagonalDown="false">
      <left style="thin">
        <color rgb="FF7A8699"/>
      </left>
      <right style="thin">
        <color rgb="FF7A8699"/>
      </right>
      <top style="thin">
        <color rgb="FF7A8699"/>
      </top>
      <bottom style="thin">
        <color rgb="FF7A86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7" fontId="6" fillId="4"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7" fontId="6" fillId="3" borderId="1" xfId="0" applyFont="true" applyBorder="true" applyAlignment="true" applyProtection="false">
      <alignment horizontal="general" vertical="bottom" textRotation="0" wrapText="false" indent="0" shrinkToFit="false"/>
      <protection locked="true" hidden="false"/>
    </xf>
    <xf numFmtId="167" fontId="6" fillId="5"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DF0F5"/>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7A8699"/>
      <rgbColor rgb="FF9999FF"/>
      <rgbColor rgb="FF993366"/>
      <rgbColor rgb="FFFFFFCC"/>
      <rgbColor rgb="FFDCE6F5"/>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CFFCC"/>
      <rgbColor rgb="FFFFF2A8"/>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upport.google.com/docs/answer/3093185?hl=nl" TargetMode="External"/><Relationship Id="rId2" Type="http://schemas.openxmlformats.org/officeDocument/2006/relationships/hyperlink" Target="https://support.google.com/docs/answer/3093243?hl=nl" TargetMode="External"/><Relationship Id="rId3" Type="http://schemas.openxmlformats.org/officeDocument/2006/relationships/hyperlink" Target="https://support.google.com/docs/answer/3093257?hl=nl" TargetMode="External"/><Relationship Id="rId4" Type="http://schemas.openxmlformats.org/officeDocument/2006/relationships/hyperlink" Target="https://support.google.com/docs/answer/3093224?hl=n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62"/>
    <col collapsed="false" customWidth="true" hidden="false" outlineLevel="0" max="5" min="3" style="1" width="16"/>
  </cols>
  <sheetData>
    <row r="1" customFormat="false" ht="24" hidden="false" customHeight="true" outlineLevel="0" collapsed="false">
      <c r="A1" s="2" t="s">
        <v>0</v>
      </c>
      <c r="B1" s="2"/>
      <c r="C1" s="2"/>
      <c r="D1" s="2"/>
      <c r="E1" s="2"/>
    </row>
    <row r="3" customFormat="false" ht="15" hidden="false" customHeight="true" outlineLevel="0" collapsed="false">
      <c r="A3" s="3" t="s">
        <v>1</v>
      </c>
      <c r="B3" s="4"/>
    </row>
    <row r="5" customFormat="false" ht="15" hidden="false" customHeight="true" outlineLevel="0" collapsed="false">
      <c r="A5" s="5" t="s">
        <v>2</v>
      </c>
    </row>
    <row r="6" customFormat="false" ht="15" hidden="false" customHeight="true" outlineLevel="0" collapsed="false">
      <c r="A6" s="6" t="s">
        <v>3</v>
      </c>
      <c r="B6" s="6"/>
      <c r="C6" s="6"/>
      <c r="D6" s="6"/>
      <c r="E6" s="6"/>
    </row>
    <row r="7" customFormat="false" ht="15" hidden="false" customHeight="true" outlineLevel="0" collapsed="false">
      <c r="A7" s="6"/>
      <c r="B7" s="6"/>
      <c r="C7" s="6"/>
      <c r="D7" s="6"/>
      <c r="E7" s="6"/>
    </row>
    <row r="8" customFormat="false" ht="15" hidden="false" customHeight="true" outlineLevel="0" collapsed="false">
      <c r="A8" s="6"/>
      <c r="B8" s="6"/>
      <c r="C8" s="6"/>
      <c r="D8" s="6"/>
      <c r="E8" s="6"/>
    </row>
    <row r="9" customFormat="false" ht="15" hidden="false" customHeight="true" outlineLevel="0" collapsed="false">
      <c r="A9" s="6"/>
      <c r="B9" s="6"/>
      <c r="C9" s="6"/>
      <c r="D9" s="6"/>
      <c r="E9" s="6"/>
    </row>
    <row r="11" customFormat="false" ht="15" hidden="false" customHeight="true" outlineLevel="0" collapsed="false">
      <c r="A11" s="5" t="s">
        <v>4</v>
      </c>
    </row>
    <row r="12" customFormat="false" ht="15" hidden="false" customHeight="true" outlineLevel="0" collapsed="false">
      <c r="A12" s="4"/>
      <c r="B12" s="7" t="s">
        <v>5</v>
      </c>
    </row>
    <row r="13" customFormat="false" ht="15" hidden="false" customHeight="true" outlineLevel="0" collapsed="false">
      <c r="A13" s="8"/>
      <c r="B13" s="7" t="s">
        <v>6</v>
      </c>
    </row>
    <row r="14" customFormat="false" ht="15" hidden="false" customHeight="true" outlineLevel="0" collapsed="false">
      <c r="A14" s="9"/>
      <c r="B14" s="7" t="s">
        <v>7</v>
      </c>
    </row>
    <row r="15" customFormat="false" ht="15" hidden="false" customHeight="true" outlineLevel="0" collapsed="false">
      <c r="A15" s="10" t="s">
        <v>8</v>
      </c>
      <c r="B15" s="7" t="s">
        <v>9</v>
      </c>
    </row>
    <row r="17" customFormat="false" ht="15" hidden="false" customHeight="true" outlineLevel="0" collapsed="false">
      <c r="A17" s="5" t="s">
        <v>10</v>
      </c>
    </row>
    <row r="18" customFormat="false" ht="15" hidden="false" customHeight="true" outlineLevel="0" collapsed="false">
      <c r="A18" s="6" t="s">
        <v>11</v>
      </c>
      <c r="B18" s="6"/>
      <c r="C18" s="6"/>
      <c r="D18" s="6"/>
      <c r="E18" s="6"/>
    </row>
    <row r="19" customFormat="false" ht="15" hidden="false" customHeight="true" outlineLevel="0" collapsed="false">
      <c r="A19" s="6"/>
      <c r="B19" s="6"/>
      <c r="C19" s="6"/>
      <c r="D19" s="6"/>
      <c r="E19" s="6"/>
    </row>
    <row r="20" customFormat="false" ht="15" hidden="false" customHeight="true" outlineLevel="0" collapsed="false">
      <c r="A20" s="11" t="s">
        <v>12</v>
      </c>
    </row>
    <row r="21" customFormat="false" ht="15" hidden="false" customHeight="true" outlineLevel="0" collapsed="false">
      <c r="A21" s="12" t="s">
        <v>13</v>
      </c>
      <c r="B21" s="12"/>
      <c r="C21" s="12"/>
      <c r="D21" s="12"/>
      <c r="E21" s="12"/>
    </row>
    <row r="22" customFormat="false" ht="15" hidden="false" customHeight="true" outlineLevel="0" collapsed="false">
      <c r="A22" s="12"/>
      <c r="B22" s="12"/>
      <c r="C22" s="12"/>
      <c r="D22" s="12"/>
      <c r="E22" s="12"/>
    </row>
    <row r="23" customFormat="false" ht="15" hidden="false" customHeight="true" outlineLevel="0" collapsed="false">
      <c r="A23" s="12"/>
      <c r="B23" s="12"/>
      <c r="C23" s="12"/>
      <c r="D23" s="12"/>
      <c r="E23" s="12"/>
    </row>
  </sheetData>
  <mergeCells count="4">
    <mergeCell ref="A1:E1"/>
    <mergeCell ref="A6:E9"/>
    <mergeCell ref="A18:E19"/>
    <mergeCell ref="A21:E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2"/>
    <col collapsed="false" customWidth="true" hidden="false" outlineLevel="0" max="3" min="2" style="1" width="20"/>
    <col collapsed="false" customWidth="true" hidden="false" outlineLevel="0" max="4" min="4" style="1" width="24"/>
  </cols>
  <sheetData>
    <row r="1" customFormat="false" ht="24" hidden="false" customHeight="true" outlineLevel="0" collapsed="false">
      <c r="A1" s="2" t="s">
        <v>14</v>
      </c>
      <c r="B1" s="2"/>
      <c r="C1" s="2"/>
      <c r="D1" s="2"/>
    </row>
    <row r="3" customFormat="false" ht="15" hidden="false" customHeight="true" outlineLevel="0" collapsed="false">
      <c r="A3" s="6" t="s">
        <v>15</v>
      </c>
      <c r="B3" s="6"/>
      <c r="C3" s="6"/>
      <c r="D3" s="6"/>
    </row>
    <row r="4" customFormat="false" ht="15" hidden="false" customHeight="true" outlineLevel="0" collapsed="false">
      <c r="A4" s="6" t="s">
        <v>16</v>
      </c>
      <c r="B4" s="6"/>
      <c r="C4" s="6"/>
      <c r="D4" s="6"/>
    </row>
    <row r="5" customFormat="false" ht="15" hidden="false" customHeight="true" outlineLevel="0" collapsed="false">
      <c r="A5" s="6"/>
      <c r="B5" s="6"/>
      <c r="C5" s="6"/>
      <c r="D5" s="6"/>
    </row>
    <row r="7" customFormat="false" ht="15" hidden="false" customHeight="true" outlineLevel="0" collapsed="false">
      <c r="A7" s="13" t="s">
        <v>17</v>
      </c>
      <c r="B7" s="14" t="n">
        <v>16000</v>
      </c>
    </row>
    <row r="8" customFormat="false" ht="15" hidden="false" customHeight="true" outlineLevel="0" collapsed="false">
      <c r="A8" s="13" t="s">
        <v>18</v>
      </c>
      <c r="B8" s="15" t="n">
        <v>0.03</v>
      </c>
    </row>
    <row r="9" customFormat="false" ht="15" hidden="false" customHeight="true" outlineLevel="0" collapsed="false">
      <c r="A9" s="13" t="s">
        <v>19</v>
      </c>
      <c r="B9" s="13" t="n">
        <v>5</v>
      </c>
    </row>
    <row r="10" customFormat="false" ht="15" hidden="false" customHeight="true" outlineLevel="0" collapsed="false">
      <c r="A10" s="13" t="s">
        <v>20</v>
      </c>
      <c r="B10" s="16"/>
    </row>
    <row r="11" customFormat="false" ht="15" hidden="false" customHeight="true" outlineLevel="0" collapsed="false">
      <c r="A11" s="13" t="s">
        <v>21</v>
      </c>
      <c r="B11" s="17" t="n">
        <v>-200</v>
      </c>
    </row>
    <row r="12" customFormat="false" ht="15" hidden="false" customHeight="true" outlineLevel="0" collapsed="false">
      <c r="A12" s="13" t="s">
        <v>22</v>
      </c>
      <c r="B12" s="18"/>
    </row>
    <row r="13" customFormat="false" ht="15" hidden="false" customHeight="true" outlineLevel="0" collapsed="false">
      <c r="A13" s="13" t="s">
        <v>23</v>
      </c>
      <c r="B13" s="19"/>
    </row>
    <row r="15" customFormat="false" ht="15" hidden="false" customHeight="true" outlineLevel="0" collapsed="false">
      <c r="A15" s="5" t="s">
        <v>24</v>
      </c>
    </row>
    <row r="16" customFormat="false" ht="15" hidden="false" customHeight="true" outlineLevel="0" collapsed="false">
      <c r="A16" s="13" t="s">
        <v>25</v>
      </c>
      <c r="B16" s="18"/>
    </row>
    <row r="17" customFormat="false" ht="15" hidden="false" customHeight="true" outlineLevel="0" collapsed="false">
      <c r="A17" s="13" t="s">
        <v>26</v>
      </c>
      <c r="B17" s="18"/>
    </row>
    <row r="18" customFormat="false" ht="15" hidden="false" customHeight="true" outlineLevel="0" collapsed="false">
      <c r="A18" s="13" t="s">
        <v>27</v>
      </c>
      <c r="B18" s="18"/>
    </row>
    <row r="19" customFormat="false" ht="33.75" hidden="false" customHeight="true" outlineLevel="0" collapsed="false">
      <c r="A19" s="20" t="s">
        <v>28</v>
      </c>
      <c r="B19" s="20"/>
      <c r="C19" s="20"/>
      <c r="D19" s="20"/>
    </row>
    <row r="20" customFormat="false" ht="15" hidden="false" customHeight="true" outlineLevel="0" collapsed="false">
      <c r="A20" s="5" t="s">
        <v>29</v>
      </c>
    </row>
    <row r="21" customFormat="false" ht="15" hidden="false" customHeight="true" outlineLevel="0" collapsed="false">
      <c r="A21" s="21" t="s">
        <v>30</v>
      </c>
      <c r="B21" s="13" t="s">
        <v>31</v>
      </c>
      <c r="C21" s="13"/>
      <c r="D21" s="13"/>
    </row>
    <row r="22" customFormat="false" ht="15" hidden="false" customHeight="true" outlineLevel="0" collapsed="false">
      <c r="A22" s="21" t="s">
        <v>32</v>
      </c>
      <c r="B22" s="13" t="s">
        <v>33</v>
      </c>
      <c r="C22" s="13"/>
      <c r="D22" s="13"/>
    </row>
    <row r="23" customFormat="false" ht="15" hidden="false" customHeight="true" outlineLevel="0" collapsed="false">
      <c r="A23" s="21" t="s">
        <v>34</v>
      </c>
      <c r="B23" s="13" t="s">
        <v>35</v>
      </c>
      <c r="C23" s="13"/>
      <c r="D23" s="13"/>
    </row>
    <row r="24" customFormat="false" ht="15" hidden="false" customHeight="true" outlineLevel="0" collapsed="false">
      <c r="A24" s="21" t="s">
        <v>36</v>
      </c>
      <c r="B24" s="13" t="s">
        <v>37</v>
      </c>
      <c r="C24" s="13"/>
      <c r="D24" s="13"/>
    </row>
    <row r="26" customFormat="false" ht="15" hidden="false" customHeight="true" outlineLevel="0" collapsed="false">
      <c r="A26" s="22" t="s">
        <v>38</v>
      </c>
      <c r="B26" s="22"/>
      <c r="C26" s="22"/>
      <c r="D26" s="22"/>
    </row>
    <row r="27" customFormat="false" ht="15" hidden="false" customHeight="true" outlineLevel="0" collapsed="false">
      <c r="A27" s="22"/>
      <c r="B27" s="22"/>
      <c r="C27" s="22"/>
      <c r="D27" s="22"/>
    </row>
  </sheetData>
  <mergeCells count="9">
    <mergeCell ref="A1:D1"/>
    <mergeCell ref="A3:D3"/>
    <mergeCell ref="A4:D5"/>
    <mergeCell ref="A19:D19"/>
    <mergeCell ref="B21:D21"/>
    <mergeCell ref="B22:D22"/>
    <mergeCell ref="B23:D23"/>
    <mergeCell ref="B24:D24"/>
    <mergeCell ref="A26:D27"/>
  </mergeCells>
  <hyperlinks>
    <hyperlink ref="A21" r:id="rId1" display="BET"/>
    <hyperlink ref="A22" r:id="rId2" display="HW"/>
    <hyperlink ref="A23" r:id="rId3" display="RENTE"/>
    <hyperlink ref="A24" r:id="rId4" display="T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2"/>
    <col collapsed="false" customWidth="true" hidden="false" outlineLevel="0" max="3" min="2" style="1" width="20"/>
    <col collapsed="false" customWidth="true" hidden="false" outlineLevel="0" max="4" min="4" style="1" width="24"/>
  </cols>
  <sheetData>
    <row r="1" customFormat="false" ht="24" hidden="false" customHeight="true" outlineLevel="0" collapsed="false">
      <c r="A1" s="2" t="s">
        <v>39</v>
      </c>
      <c r="B1" s="2"/>
      <c r="C1" s="2"/>
      <c r="D1" s="2"/>
    </row>
    <row r="3" customFormat="false" ht="15" hidden="false" customHeight="true" outlineLevel="0" collapsed="false">
      <c r="A3" s="6" t="s">
        <v>40</v>
      </c>
      <c r="B3" s="6"/>
      <c r="C3" s="6"/>
      <c r="D3" s="6"/>
    </row>
    <row r="4" customFormat="false" ht="15" hidden="false" customHeight="true" outlineLevel="0" collapsed="false">
      <c r="A4" s="6"/>
      <c r="B4" s="6"/>
      <c r="C4" s="6"/>
      <c r="D4" s="6"/>
    </row>
    <row r="6" customFormat="false" ht="15" hidden="false" customHeight="true" outlineLevel="0" collapsed="false">
      <c r="A6" s="13" t="s">
        <v>41</v>
      </c>
      <c r="B6" s="17" t="n">
        <v>-200</v>
      </c>
    </row>
    <row r="7" customFormat="false" ht="15" hidden="false" customHeight="true" outlineLevel="0" collapsed="false">
      <c r="A7" s="13" t="s">
        <v>42</v>
      </c>
      <c r="B7" s="15" t="n">
        <v>0.02</v>
      </c>
    </row>
    <row r="8" customFormat="false" ht="15" hidden="false" customHeight="true" outlineLevel="0" collapsed="false">
      <c r="A8" s="13" t="s">
        <v>43</v>
      </c>
      <c r="B8" s="13" t="n">
        <v>5</v>
      </c>
    </row>
    <row r="9" customFormat="false" ht="15" hidden="false" customHeight="true" outlineLevel="0" collapsed="false">
      <c r="A9" s="13" t="s">
        <v>44</v>
      </c>
      <c r="B9" s="18"/>
    </row>
    <row r="10" customFormat="false" ht="15" hidden="false" customHeight="true" outlineLevel="0" collapsed="false">
      <c r="A10" s="13" t="s">
        <v>45</v>
      </c>
      <c r="B10" s="18"/>
    </row>
    <row r="11" customFormat="false" ht="15" hidden="false" customHeight="true" outlineLevel="0" collapsed="false">
      <c r="A11" s="13" t="s">
        <v>46</v>
      </c>
      <c r="B11" s="18"/>
    </row>
    <row r="13" customFormat="false" ht="15" hidden="false" customHeight="true" outlineLevel="0" collapsed="false">
      <c r="A13" s="23" t="s">
        <v>47</v>
      </c>
      <c r="B13" s="23"/>
      <c r="C13" s="23"/>
      <c r="D13" s="23"/>
    </row>
    <row r="14" customFormat="false" ht="15" hidden="false" customHeight="true" outlineLevel="0" collapsed="false">
      <c r="A14" s="23"/>
      <c r="B14" s="23"/>
      <c r="C14" s="23"/>
      <c r="D14" s="23"/>
    </row>
    <row r="15" customFormat="false" ht="15" hidden="false" customHeight="true" outlineLevel="0" collapsed="false">
      <c r="A15" s="24"/>
      <c r="B15" s="24"/>
      <c r="C15" s="24"/>
      <c r="D15" s="24"/>
    </row>
    <row r="16" customFormat="false" ht="15" hidden="false" customHeight="true" outlineLevel="0" collapsed="false">
      <c r="A16" s="24"/>
      <c r="B16" s="24"/>
      <c r="C16" s="24"/>
      <c r="D16" s="24"/>
    </row>
    <row r="17" customFormat="false" ht="15" hidden="false" customHeight="true" outlineLevel="0" collapsed="false">
      <c r="A17" s="24"/>
      <c r="B17" s="24"/>
      <c r="C17" s="24"/>
      <c r="D17" s="24"/>
    </row>
  </sheetData>
  <mergeCells count="4">
    <mergeCell ref="A1:D1"/>
    <mergeCell ref="A3:D4"/>
    <mergeCell ref="A13:D14"/>
    <mergeCell ref="A15: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42"/>
    <col collapsed="false" customWidth="true" hidden="false" outlineLevel="0" max="3" min="3" style="1" width="16"/>
    <col collapsed="false" customWidth="true" hidden="false" outlineLevel="0" max="4" min="4" style="1" width="12"/>
    <col collapsed="false" customWidth="true" hidden="false" outlineLevel="0" max="5" min="5" style="1" width="16"/>
    <col collapsed="false" customWidth="true" hidden="false" outlineLevel="0" max="6" min="6" style="1" width="26"/>
  </cols>
  <sheetData>
    <row r="1" customFormat="false" ht="24" hidden="false" customHeight="true" outlineLevel="0" collapsed="false">
      <c r="A1" s="2" t="s">
        <v>48</v>
      </c>
      <c r="B1" s="2"/>
      <c r="C1" s="2"/>
      <c r="D1" s="2"/>
      <c r="E1" s="2"/>
      <c r="F1" s="2"/>
    </row>
    <row r="3" customFormat="false" ht="31.5" hidden="false" customHeight="true" outlineLevel="0" collapsed="false">
      <c r="A3" s="6" t="s">
        <v>49</v>
      </c>
      <c r="B3" s="6"/>
      <c r="C3" s="6"/>
      <c r="D3" s="6"/>
      <c r="E3" s="6"/>
      <c r="F3" s="6"/>
    </row>
    <row r="4" customFormat="false" ht="31.5" hidden="false" customHeight="true" outlineLevel="0" collapsed="false">
      <c r="A4" s="6"/>
      <c r="B4" s="6"/>
      <c r="C4" s="6"/>
      <c r="D4" s="6"/>
      <c r="E4" s="6"/>
      <c r="F4" s="6"/>
    </row>
    <row r="6" customFormat="false" ht="15" hidden="false" customHeight="true" outlineLevel="0" collapsed="false">
      <c r="A6" s="25" t="s">
        <v>50</v>
      </c>
      <c r="B6" s="25" t="s">
        <v>51</v>
      </c>
      <c r="C6" s="25" t="s">
        <v>52</v>
      </c>
      <c r="D6" s="25" t="s">
        <v>53</v>
      </c>
      <c r="E6" s="25" t="s">
        <v>54</v>
      </c>
      <c r="F6" s="25" t="s">
        <v>55</v>
      </c>
    </row>
    <row r="7" customFormat="false" ht="15" hidden="false" customHeight="true" outlineLevel="0" collapsed="false">
      <c r="A7" s="26" t="s">
        <v>56</v>
      </c>
      <c r="B7" s="26" t="str">
        <f aca="false">IFERROR(VLOOKUP($A7,Gegevens!$A$5:$C$18,2,FALSE()),"niet gevonden")</f>
        <v>Processor 6 cores, 4,1 GHz</v>
      </c>
      <c r="C7" s="27" t="n">
        <f aca="false">IFERROR(VLOOKUP($A7,Gegevens!$A$5:$C$18,3,FALSE()),0)</f>
        <v>189</v>
      </c>
      <c r="D7" s="26" t="n">
        <v>1</v>
      </c>
      <c r="E7" s="27" t="n">
        <f aca="false">C7*D7</f>
        <v>189</v>
      </c>
      <c r="F7" s="26" t="s">
        <v>57</v>
      </c>
    </row>
    <row r="8" customFormat="false" ht="15" hidden="false" customHeight="true" outlineLevel="0" collapsed="false">
      <c r="A8" s="13" t="s">
        <v>58</v>
      </c>
      <c r="B8" s="4"/>
      <c r="C8" s="18"/>
      <c r="D8" s="13" t="n">
        <v>1</v>
      </c>
      <c r="E8" s="18"/>
      <c r="F8" s="13"/>
    </row>
    <row r="9" customFormat="false" ht="15" hidden="false" customHeight="true" outlineLevel="0" collapsed="false">
      <c r="A9" s="13" t="s">
        <v>59</v>
      </c>
      <c r="B9" s="4"/>
      <c r="C9" s="18"/>
      <c r="D9" s="13" t="n">
        <v>2</v>
      </c>
      <c r="E9" s="18"/>
      <c r="F9" s="13"/>
    </row>
    <row r="10" customFormat="false" ht="15" hidden="false" customHeight="true" outlineLevel="0" collapsed="false">
      <c r="A10" s="13" t="s">
        <v>60</v>
      </c>
      <c r="B10" s="4"/>
      <c r="C10" s="18"/>
      <c r="D10" s="13" t="n">
        <v>1</v>
      </c>
      <c r="E10" s="18"/>
      <c r="F10" s="13"/>
    </row>
    <row r="11" customFormat="false" ht="15" hidden="false" customHeight="true" outlineLevel="0" collapsed="false">
      <c r="A11" s="13" t="s">
        <v>61</v>
      </c>
      <c r="B11" s="4"/>
      <c r="C11" s="18"/>
      <c r="D11" s="13" t="n">
        <v>1</v>
      </c>
      <c r="E11" s="18"/>
      <c r="F11" s="13"/>
    </row>
    <row r="12" customFormat="false" ht="15" hidden="false" customHeight="true" outlineLevel="0" collapsed="false">
      <c r="A12" s="13" t="s">
        <v>62</v>
      </c>
      <c r="B12" s="4"/>
      <c r="C12" s="18"/>
      <c r="D12" s="13" t="n">
        <v>1</v>
      </c>
      <c r="E12" s="18"/>
      <c r="F12" s="13"/>
    </row>
    <row r="13" customFormat="false" ht="15" hidden="false" customHeight="true" outlineLevel="0" collapsed="false">
      <c r="A13" s="13" t="s">
        <v>63</v>
      </c>
      <c r="B13" s="4"/>
      <c r="C13" s="18"/>
      <c r="D13" s="13" t="n">
        <v>1</v>
      </c>
      <c r="E13" s="18"/>
      <c r="F13" s="13"/>
    </row>
    <row r="14" customFormat="false" ht="15" hidden="false" customHeight="true" outlineLevel="0" collapsed="false">
      <c r="A14" s="13" t="s">
        <v>64</v>
      </c>
      <c r="B14" s="4"/>
      <c r="C14" s="18"/>
      <c r="D14" s="13" t="n">
        <v>1</v>
      </c>
      <c r="E14" s="18"/>
      <c r="F14" s="26" t="s">
        <v>65</v>
      </c>
    </row>
    <row r="16" customFormat="false" ht="15" hidden="false" customHeight="true" outlineLevel="0" collapsed="false">
      <c r="D16" s="28" t="s">
        <v>66</v>
      </c>
      <c r="E16" s="18"/>
    </row>
    <row r="17" customFormat="false" ht="15" hidden="false" customHeight="true" outlineLevel="0" collapsed="false">
      <c r="D17" s="28" t="s">
        <v>67</v>
      </c>
      <c r="E17" s="4"/>
    </row>
    <row r="18" customFormat="false" ht="15" hidden="false" customHeight="true" outlineLevel="0" collapsed="false">
      <c r="D18" s="28" t="s">
        <v>68</v>
      </c>
      <c r="E18" s="18"/>
    </row>
    <row r="19" customFormat="false" ht="15" hidden="false" customHeight="true" outlineLevel="0" collapsed="false">
      <c r="D19" s="28" t="s">
        <v>69</v>
      </c>
      <c r="E19" s="18"/>
    </row>
    <row r="21" customFormat="false" ht="15" hidden="false" customHeight="true" outlineLevel="0" collapsed="false">
      <c r="A21" s="5" t="s">
        <v>70</v>
      </c>
    </row>
    <row r="22" customFormat="false" ht="15" hidden="false" customHeight="true" outlineLevel="0" collapsed="false">
      <c r="A22" s="6" t="s">
        <v>71</v>
      </c>
      <c r="B22" s="6"/>
      <c r="C22" s="6"/>
      <c r="D22" s="6"/>
      <c r="E22" s="6"/>
      <c r="F22" s="6"/>
    </row>
    <row r="23" customFormat="false" ht="15" hidden="false" customHeight="true" outlineLevel="0" collapsed="false">
      <c r="A23" s="6"/>
      <c r="B23" s="6"/>
      <c r="C23" s="6"/>
      <c r="D23" s="6"/>
      <c r="E23" s="6"/>
      <c r="F23" s="6"/>
    </row>
    <row r="24" customFormat="false" ht="15" hidden="false" customHeight="true" outlineLevel="0" collapsed="false">
      <c r="A24" s="6"/>
      <c r="B24" s="6"/>
      <c r="C24" s="6"/>
      <c r="D24" s="6"/>
      <c r="E24" s="6"/>
      <c r="F24" s="6"/>
    </row>
    <row r="25" customFormat="false" ht="15" hidden="false" customHeight="true" outlineLevel="0" collapsed="false">
      <c r="A25" s="6"/>
      <c r="B25" s="6"/>
      <c r="C25" s="6"/>
      <c r="D25" s="6"/>
      <c r="E25" s="6"/>
      <c r="F25" s="6"/>
    </row>
    <row r="26" customFormat="false" ht="15" hidden="false" customHeight="true" outlineLevel="0" collapsed="false">
      <c r="A26" s="6"/>
      <c r="B26" s="6"/>
      <c r="C26" s="6"/>
      <c r="D26" s="6"/>
      <c r="E26" s="6"/>
      <c r="F26" s="6"/>
    </row>
  </sheetData>
  <mergeCells count="3">
    <mergeCell ref="A1:F1"/>
    <mergeCell ref="A3:F4"/>
    <mergeCell ref="A22:F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6" min="2" style="1" width="16"/>
  </cols>
  <sheetData>
    <row r="1" customFormat="false" ht="24" hidden="false" customHeight="true" outlineLevel="0" collapsed="false">
      <c r="A1" s="2" t="s">
        <v>72</v>
      </c>
      <c r="B1" s="2"/>
      <c r="C1" s="2"/>
      <c r="D1" s="2"/>
      <c r="E1" s="2"/>
      <c r="F1" s="2"/>
    </row>
    <row r="3" customFormat="false" ht="15" hidden="false" customHeight="true" outlineLevel="0" collapsed="false">
      <c r="A3" s="6" t="s">
        <v>73</v>
      </c>
      <c r="B3" s="6"/>
      <c r="C3" s="6"/>
      <c r="D3" s="6"/>
      <c r="E3" s="6"/>
      <c r="F3" s="6"/>
    </row>
    <row r="4" customFormat="false" ht="15" hidden="false" customHeight="true" outlineLevel="0" collapsed="false">
      <c r="A4" s="6"/>
      <c r="B4" s="6"/>
      <c r="C4" s="6"/>
      <c r="D4" s="6"/>
      <c r="E4" s="6"/>
      <c r="F4" s="6"/>
    </row>
    <row r="6" customFormat="false" ht="15" hidden="false" customHeight="true" outlineLevel="0" collapsed="false">
      <c r="A6" s="25" t="s">
        <v>74</v>
      </c>
      <c r="B6" s="25" t="s">
        <v>75</v>
      </c>
      <c r="C6" s="25" t="s">
        <v>76</v>
      </c>
    </row>
    <row r="7" customFormat="false" ht="15" hidden="false" customHeight="true" outlineLevel="0" collapsed="false">
      <c r="A7" s="13" t="s">
        <v>77</v>
      </c>
      <c r="B7" s="4" t="s">
        <v>78</v>
      </c>
      <c r="C7" s="18"/>
    </row>
    <row r="8" customFormat="false" ht="15" hidden="false" customHeight="true" outlineLevel="0" collapsed="false">
      <c r="A8" s="13" t="s">
        <v>79</v>
      </c>
      <c r="B8" s="13" t="str">
        <f aca="false">B7</f>
        <v>Q3</v>
      </c>
      <c r="C8" s="4"/>
    </row>
    <row r="10" customFormat="false" ht="15" hidden="false" customHeight="true" outlineLevel="0" collapsed="false">
      <c r="A10" s="13" t="s">
        <v>80</v>
      </c>
      <c r="C10" s="18"/>
    </row>
    <row r="11" customFormat="false" ht="15" hidden="false" customHeight="true" outlineLevel="0" collapsed="false">
      <c r="A11" s="13" t="s">
        <v>81</v>
      </c>
      <c r="C11" s="18"/>
    </row>
    <row r="12" customFormat="false" ht="15" hidden="false" customHeight="true" outlineLevel="0" collapsed="false">
      <c r="A12" s="13" t="s">
        <v>82</v>
      </c>
      <c r="C12" s="18"/>
    </row>
    <row r="14" customFormat="false" ht="15" hidden="false" customHeight="true" outlineLevel="0" collapsed="false">
      <c r="A14" s="5" t="s">
        <v>83</v>
      </c>
    </row>
    <row r="15" customFormat="false" ht="15" hidden="false" customHeight="true" outlineLevel="0" collapsed="false">
      <c r="A15" s="6" t="s">
        <v>84</v>
      </c>
      <c r="B15" s="6"/>
      <c r="C15" s="6"/>
      <c r="D15" s="6"/>
      <c r="E15" s="6"/>
      <c r="F15" s="6"/>
    </row>
    <row r="16" customFormat="false" ht="15" hidden="false" customHeight="true" outlineLevel="0" collapsed="false">
      <c r="A16" s="6"/>
      <c r="B16" s="6"/>
      <c r="C16" s="6"/>
      <c r="D16" s="6"/>
      <c r="E16" s="6"/>
      <c r="F16" s="6"/>
    </row>
    <row r="17" customFormat="false" ht="15" hidden="false" customHeight="true" outlineLevel="0" collapsed="false">
      <c r="A17" s="6"/>
      <c r="B17" s="6"/>
      <c r="C17" s="6"/>
      <c r="D17" s="6"/>
      <c r="E17" s="6"/>
      <c r="F17" s="6"/>
    </row>
  </sheetData>
  <mergeCells count="3">
    <mergeCell ref="A1:F1"/>
    <mergeCell ref="A3:F4"/>
    <mergeCell ref="A15: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20"/>
    <col collapsed="false" customWidth="true" hidden="false" outlineLevel="0" max="4" min="4" style="1" width="24"/>
  </cols>
  <sheetData>
    <row r="1" customFormat="false" ht="24" hidden="false" customHeight="true" outlineLevel="0" collapsed="false">
      <c r="A1" s="2" t="s">
        <v>85</v>
      </c>
      <c r="B1" s="2"/>
      <c r="C1" s="2"/>
      <c r="D1" s="2"/>
    </row>
    <row r="3" customFormat="false" ht="15" hidden="false" customHeight="true" outlineLevel="0" collapsed="false">
      <c r="A3" s="6" t="s">
        <v>86</v>
      </c>
      <c r="B3" s="6"/>
      <c r="C3" s="6"/>
      <c r="D3" s="6"/>
    </row>
    <row r="4" customFormat="false" ht="15" hidden="false" customHeight="true" outlineLevel="0" collapsed="false">
      <c r="A4" s="6"/>
      <c r="B4" s="6"/>
      <c r="C4" s="6"/>
      <c r="D4" s="6"/>
    </row>
    <row r="6" customFormat="false" ht="15" hidden="false" customHeight="true" outlineLevel="0" collapsed="false">
      <c r="A6" s="5" t="s">
        <v>87</v>
      </c>
    </row>
    <row r="7" customFormat="false" ht="15" hidden="false" customHeight="true" outlineLevel="0" collapsed="false">
      <c r="A7" s="25" t="s">
        <v>88</v>
      </c>
      <c r="B7" s="4" t="s">
        <v>89</v>
      </c>
    </row>
    <row r="8" customFormat="false" ht="15" hidden="false" customHeight="true" outlineLevel="0" collapsed="false">
      <c r="A8" s="13" t="s">
        <v>90</v>
      </c>
      <c r="B8" s="4"/>
    </row>
    <row r="9" customFormat="false" ht="15" hidden="false" customHeight="true" outlineLevel="0" collapsed="false">
      <c r="A9" s="13" t="s">
        <v>91</v>
      </c>
      <c r="B9" s="18"/>
    </row>
    <row r="10" customFormat="false" ht="15" hidden="false" customHeight="true" outlineLevel="0" collapsed="false">
      <c r="A10" s="13" t="s">
        <v>92</v>
      </c>
      <c r="B10" s="4"/>
    </row>
    <row r="11" customFormat="false" ht="26.25" hidden="false" customHeight="true" outlineLevel="0" collapsed="false">
      <c r="A11" s="29" t="s">
        <v>93</v>
      </c>
      <c r="B11" s="24"/>
      <c r="C11" s="24"/>
      <c r="D11" s="24"/>
    </row>
    <row r="12" customFormat="false" ht="15" hidden="false" customHeight="true" outlineLevel="0" collapsed="false">
      <c r="B12" s="24"/>
      <c r="C12" s="24"/>
      <c r="D12" s="24"/>
    </row>
    <row r="14" customFormat="false" ht="15" hidden="false" customHeight="true" outlineLevel="0" collapsed="false">
      <c r="A14" s="5" t="s">
        <v>94</v>
      </c>
    </row>
    <row r="15" customFormat="false" ht="15" hidden="false" customHeight="true" outlineLevel="0" collapsed="false">
      <c r="A15" s="6" t="s">
        <v>95</v>
      </c>
      <c r="B15" s="6"/>
      <c r="C15" s="6"/>
      <c r="D15" s="6"/>
    </row>
    <row r="16" customFormat="false" ht="15" hidden="false" customHeight="true" outlineLevel="0" collapsed="false">
      <c r="A16" s="6"/>
      <c r="B16" s="6"/>
      <c r="C16" s="6"/>
      <c r="D16" s="6"/>
    </row>
    <row r="18" customFormat="false" ht="15" hidden="false" customHeight="true" outlineLevel="0" collapsed="false">
      <c r="A18" s="25" t="s">
        <v>96</v>
      </c>
      <c r="B18" s="25" t="s">
        <v>97</v>
      </c>
      <c r="C18" s="25" t="s">
        <v>98</v>
      </c>
      <c r="D18" s="25" t="s">
        <v>99</v>
      </c>
    </row>
    <row r="19" customFormat="false" ht="15" hidden="false" customHeight="true" outlineLevel="0" collapsed="false">
      <c r="A19" s="13" t="n">
        <v>12</v>
      </c>
      <c r="B19" s="30"/>
      <c r="C19" s="17" t="n">
        <v>948</v>
      </c>
      <c r="D19" s="18"/>
    </row>
    <row r="20" customFormat="false" ht="15" hidden="false" customHeight="true" outlineLevel="0" collapsed="false">
      <c r="A20" s="13" t="n">
        <v>34</v>
      </c>
      <c r="B20" s="30"/>
      <c r="C20" s="17" t="n">
        <v>2686</v>
      </c>
      <c r="D20" s="18"/>
    </row>
    <row r="21" customFormat="false" ht="15" hidden="false" customHeight="true" outlineLevel="0" collapsed="false">
      <c r="A21" s="13" t="n">
        <v>73</v>
      </c>
      <c r="B21" s="30"/>
      <c r="C21" s="17" t="n">
        <v>5767</v>
      </c>
      <c r="D21" s="18"/>
    </row>
    <row r="22" customFormat="false" ht="15" hidden="false" customHeight="true" outlineLevel="0" collapsed="false">
      <c r="A22" s="13" t="n">
        <v>150</v>
      </c>
      <c r="B22" s="30"/>
      <c r="C22" s="17" t="n">
        <v>11850</v>
      </c>
      <c r="D22" s="18"/>
    </row>
  </sheetData>
  <mergeCells count="4">
    <mergeCell ref="A1:D1"/>
    <mergeCell ref="A3:D4"/>
    <mergeCell ref="B11:D12"/>
    <mergeCell ref="A15:D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42"/>
    <col collapsed="false" customWidth="true" hidden="false" outlineLevel="0" max="3" min="3" style="1" width="14"/>
    <col collapsed="false" customWidth="true" hidden="false" outlineLevel="0" max="4" min="4" style="1" width="4"/>
    <col collapsed="false" customWidth="true" hidden="false" outlineLevel="0" max="5" min="5" style="1" width="16"/>
    <col collapsed="false" customWidth="true" hidden="false" outlineLevel="0" max="6" min="6" style="1" width="14"/>
    <col collapsed="false" customWidth="true" hidden="false" outlineLevel="0" max="7" min="7" style="1" width="4"/>
    <col collapsed="false" customWidth="true" hidden="false" outlineLevel="0" max="9" min="8" style="1" width="14"/>
  </cols>
  <sheetData>
    <row r="1" customFormat="false" ht="24" hidden="false" customHeight="true" outlineLevel="0" collapsed="false">
      <c r="A1" s="2" t="s">
        <v>100</v>
      </c>
      <c r="B1" s="2"/>
      <c r="C1" s="2"/>
      <c r="D1" s="2"/>
      <c r="E1" s="2"/>
      <c r="F1" s="2"/>
      <c r="G1" s="2"/>
      <c r="H1" s="2"/>
      <c r="I1" s="2"/>
    </row>
    <row r="3" customFormat="false" ht="15" hidden="false" customHeight="true" outlineLevel="0" collapsed="false">
      <c r="A3" s="5" t="s">
        <v>101</v>
      </c>
      <c r="E3" s="5" t="s">
        <v>102</v>
      </c>
    </row>
    <row r="4" customFormat="false" ht="15" hidden="false" customHeight="true" outlineLevel="0" collapsed="false">
      <c r="A4" s="25" t="s">
        <v>50</v>
      </c>
      <c r="B4" s="25" t="s">
        <v>51</v>
      </c>
      <c r="C4" s="25" t="s">
        <v>52</v>
      </c>
      <c r="E4" s="25" t="s">
        <v>103</v>
      </c>
      <c r="F4" s="25" t="s">
        <v>97</v>
      </c>
    </row>
    <row r="5" customFormat="false" ht="15" hidden="false" customHeight="true" outlineLevel="0" collapsed="false">
      <c r="A5" s="13" t="s">
        <v>63</v>
      </c>
      <c r="B5" s="13" t="s">
        <v>104</v>
      </c>
      <c r="C5" s="17" t="n">
        <v>79</v>
      </c>
      <c r="E5" s="13" t="n">
        <v>0</v>
      </c>
      <c r="F5" s="15" t="n">
        <v>0</v>
      </c>
    </row>
    <row r="6" customFormat="false" ht="15" hidden="false" customHeight="true" outlineLevel="0" collapsed="false">
      <c r="A6" s="13" t="s">
        <v>56</v>
      </c>
      <c r="B6" s="13" t="s">
        <v>105</v>
      </c>
      <c r="C6" s="17" t="n">
        <v>189</v>
      </c>
      <c r="E6" s="13" t="n">
        <v>10</v>
      </c>
      <c r="F6" s="15" t="n">
        <v>0.03</v>
      </c>
    </row>
    <row r="7" customFormat="false" ht="15" hidden="false" customHeight="true" outlineLevel="0" collapsed="false">
      <c r="A7" s="13" t="s">
        <v>106</v>
      </c>
      <c r="B7" s="13" t="s">
        <v>107</v>
      </c>
      <c r="C7" s="17" t="n">
        <v>329</v>
      </c>
      <c r="E7" s="13" t="n">
        <v>25</v>
      </c>
      <c r="F7" s="15" t="n">
        <v>0.07</v>
      </c>
    </row>
    <row r="8" customFormat="false" ht="15" hidden="false" customHeight="true" outlineLevel="0" collapsed="false">
      <c r="A8" s="13" t="s">
        <v>108</v>
      </c>
      <c r="B8" s="13" t="s">
        <v>109</v>
      </c>
      <c r="C8" s="17" t="n">
        <v>549</v>
      </c>
      <c r="E8" s="13" t="n">
        <v>50</v>
      </c>
      <c r="F8" s="15" t="n">
        <v>0.12</v>
      </c>
    </row>
    <row r="9" customFormat="false" ht="15" hidden="false" customHeight="true" outlineLevel="0" collapsed="false">
      <c r="A9" s="13" t="s">
        <v>110</v>
      </c>
      <c r="B9" s="13" t="s">
        <v>111</v>
      </c>
      <c r="C9" s="17" t="n">
        <v>279</v>
      </c>
      <c r="E9" s="13" t="n">
        <v>100</v>
      </c>
      <c r="F9" s="15" t="n">
        <v>0.18</v>
      </c>
    </row>
    <row r="10" customFormat="false" ht="15" hidden="false" customHeight="true" outlineLevel="0" collapsed="false">
      <c r="A10" s="13" t="s">
        <v>112</v>
      </c>
      <c r="B10" s="13" t="s">
        <v>113</v>
      </c>
      <c r="C10" s="17" t="n">
        <v>489</v>
      </c>
    </row>
    <row r="11" customFormat="false" ht="15" hidden="false" customHeight="true" outlineLevel="0" collapsed="false">
      <c r="A11" s="13" t="s">
        <v>61</v>
      </c>
      <c r="B11" s="13" t="s">
        <v>114</v>
      </c>
      <c r="C11" s="17" t="n">
        <v>899</v>
      </c>
      <c r="E11" s="31" t="s">
        <v>115</v>
      </c>
    </row>
    <row r="12" customFormat="false" ht="15" hidden="false" customHeight="true" outlineLevel="0" collapsed="false">
      <c r="A12" s="13" t="s">
        <v>116</v>
      </c>
      <c r="B12" s="13" t="s">
        <v>117</v>
      </c>
      <c r="C12" s="17" t="n">
        <v>94.5</v>
      </c>
    </row>
    <row r="13" customFormat="false" ht="15" hidden="false" customHeight="true" outlineLevel="0" collapsed="false">
      <c r="A13" s="13" t="s">
        <v>118</v>
      </c>
      <c r="B13" s="13" t="s">
        <v>119</v>
      </c>
      <c r="C13" s="17" t="n">
        <v>109</v>
      </c>
    </row>
    <row r="14" customFormat="false" ht="15" hidden="false" customHeight="true" outlineLevel="0" collapsed="false">
      <c r="A14" s="13" t="s">
        <v>58</v>
      </c>
      <c r="B14" s="13" t="s">
        <v>120</v>
      </c>
      <c r="C14" s="17" t="n">
        <v>179</v>
      </c>
    </row>
    <row r="15" customFormat="false" ht="15" hidden="false" customHeight="true" outlineLevel="0" collapsed="false">
      <c r="A15" s="13" t="s">
        <v>62</v>
      </c>
      <c r="B15" s="13" t="s">
        <v>121</v>
      </c>
      <c r="C15" s="17" t="n">
        <v>89</v>
      </c>
    </row>
    <row r="16" customFormat="false" ht="15" hidden="false" customHeight="true" outlineLevel="0" collapsed="false">
      <c r="A16" s="13" t="s">
        <v>59</v>
      </c>
      <c r="B16" s="13" t="s">
        <v>122</v>
      </c>
      <c r="C16" s="17" t="n">
        <v>64</v>
      </c>
    </row>
    <row r="17" customFormat="false" ht="15" hidden="false" customHeight="true" outlineLevel="0" collapsed="false">
      <c r="A17" s="13" t="s">
        <v>60</v>
      </c>
      <c r="B17" s="13" t="s">
        <v>123</v>
      </c>
      <c r="C17" s="17" t="n">
        <v>79</v>
      </c>
    </row>
    <row r="18" customFormat="false" ht="15" hidden="false" customHeight="true" outlineLevel="0" collapsed="false">
      <c r="A18" s="13" t="s">
        <v>89</v>
      </c>
      <c r="B18" s="13" t="s">
        <v>124</v>
      </c>
      <c r="C18" s="17" t="n">
        <v>139</v>
      </c>
    </row>
    <row r="21" customFormat="false" ht="15" hidden="false" customHeight="true" outlineLevel="0" collapsed="false">
      <c r="A21" s="5" t="s">
        <v>125</v>
      </c>
    </row>
    <row r="22" customFormat="false" ht="15" hidden="false" customHeight="true" outlineLevel="0" collapsed="false">
      <c r="A22" s="25" t="s">
        <v>75</v>
      </c>
      <c r="B22" s="28" t="s">
        <v>126</v>
      </c>
      <c r="C22" s="28" t="s">
        <v>127</v>
      </c>
      <c r="D22" s="28" t="s">
        <v>78</v>
      </c>
      <c r="E22" s="28" t="s">
        <v>128</v>
      </c>
    </row>
    <row r="23" customFormat="false" ht="15" hidden="false" customHeight="true" outlineLevel="0" collapsed="false">
      <c r="A23" s="25" t="s">
        <v>129</v>
      </c>
      <c r="B23" s="14" t="n">
        <v>612</v>
      </c>
      <c r="C23" s="14" t="n">
        <v>548</v>
      </c>
      <c r="D23" s="14" t="n">
        <v>497</v>
      </c>
      <c r="E23" s="14" t="n">
        <v>579</v>
      </c>
    </row>
    <row r="24" customFormat="false" ht="15" hidden="false" customHeight="true" outlineLevel="0" collapsed="false">
      <c r="A24" s="25" t="s">
        <v>130</v>
      </c>
      <c r="B24" s="13" t="n">
        <v>184</v>
      </c>
      <c r="C24" s="13" t="n">
        <v>236</v>
      </c>
      <c r="D24" s="13" t="n">
        <v>311</v>
      </c>
      <c r="E24" s="13" t="n">
        <v>402</v>
      </c>
    </row>
  </sheetData>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2026-10-18T22:24:00Z</dcterms:created>
  <dc:creator>openpyxl</dc:creator>
  <dc:description/>
  <dc:language>en-US</dc:language>
  <cp:lastModifiedBy/>
  <dcterms:modified xsi:type="dcterms:W3CDTF">2026-10-29T09:13:13Z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