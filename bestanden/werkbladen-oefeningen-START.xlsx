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s mij" sheetId="1" state="visible" r:id="rId3"/>
    <sheet name="1 Lening" sheetId="2" state="visible" r:id="rId4"/>
    <sheet name="2 Sparen" sheetId="3" state="visible" r:id="rId5"/>
    <sheet name="3 Onderdelen" sheetId="4" state="visible" r:id="rId6"/>
    <sheet name="4 Prijsevolutie" sheetId="5" state="visible" r:id="rId7"/>
    <sheet name="5 XLOOKUP en korting" sheetId="6" state="visible" r:id="rId8"/>
    <sheet name="Gegeve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<sst xmlns="http://schemas.openxmlformats.org/spreadsheetml/2006/main" count="142" uniqueCount="128">
  <si>
    <t xml:space="preserve">Werkbladen — oefeningenbundel</t>
  </si>
  <si>
    <t xml:space="preserve">Naam en klas:</t>
  </si>
  <si>
    <t xml:space="preserve">Wat moet je doen?</t>
  </si>
  <si>
    <t xml:space="preserve">Deze bundel heeft zes werkbladen (zie de tabbladen onderaan). Vul de gekleurde cellen in met een FORMULE — niet met een getal dat je zelf hebt uitgerekend. Op het blad Gegevens verander je niets: dat is de bron waarnaar je zoekfuncties verwijzen.</t>
  </si>
  <si>
    <t xml:space="preserve">Legende</t>
  </si>
  <si>
    <t xml:space="preserve">gele cel = hier vul jij een formule in</t>
  </si>
  <si>
    <t xml:space="preserve">blauw vakje = oefening 1, de afbetaling met BET</t>
  </si>
  <si>
    <t xml:space="preserve">groen vakje = oefening 1, het leenbedrag met HW</t>
  </si>
  <si>
    <t xml:space="preserve">voorbeeld</t>
  </si>
  <si>
    <t xml:space="preserve">cursief en grijs = al ingevuld als voorbeeld; kijk hoe de formule werkt</t>
  </si>
  <si>
    <t xml:space="preserve">Hulp nodig?</t>
  </si>
  <si>
    <t xml:space="preserve">Op de cursuspagina's Werkbladen (basis, financieel en zoeken) staat alles wat je hier nodig hebt, met schema's en fiches.</t>
  </si>
  <si>
    <t xml:space="preserve">Oefening 1 — Een lening voor een nieuwe wagen</t>
  </si>
  <si>
    <t xml:space="preserve">Gebruik de functie BET om de jaarlijkse afbetaling te berekenen van een nieuwe auto in het blauwe vakje.</t>
  </si>
  <si>
    <t xml:space="preserve">Gebruik de HW (huidige waarde) om in het groene vakje de maximumprijs te berekenen van een wagen die ik wel zou kunnen betalen.</t>
  </si>
  <si>
    <t xml:space="preserve">Prijs van de nieuwe wagen die ik wil kopen:</t>
  </si>
  <si>
    <t xml:space="preserve">Jaarlijkse rente die ik bij de bank moet betalen voor lening:</t>
  </si>
  <si>
    <t xml:space="preserve">Ik wil afbetalen op dit aantal jaren:</t>
  </si>
  <si>
    <t xml:space="preserve">Dan moet ik per jaar dit bedrag betalen:</t>
  </si>
  <si>
    <t xml:space="preserve">Geld dat ik per maand aan de kant kan zetten voor mijn wagen:</t>
  </si>
  <si>
    <t xml:space="preserve">Per jaar is dit dan:</t>
  </si>
  <si>
    <t xml:space="preserve">Bedrag waarvoor ik kan lenen:</t>
  </si>
  <si>
    <t xml:space="preserve">Extra</t>
  </si>
  <si>
    <t xml:space="preserve">Wat betaal ik in totaal terug na 5 jaar?</t>
  </si>
  <si>
    <t xml:space="preserve">Hoeveel rente kost die lening mij in totaal?</t>
  </si>
  <si>
    <t xml:space="preserve">Wat als ik maandelijks afbetaal in plaats van jaarlijks? (let op de periodes)</t>
  </si>
  <si>
    <t xml:space="preserve">Functies die je hier kunt gebruiken</t>
  </si>
  <si>
    <t xml:space="preserve">BET</t>
  </si>
  <si>
    <t xml:space="preserve">de afbetaling per periode</t>
  </si>
  <si>
    <t xml:space="preserve">HW</t>
  </si>
  <si>
    <t xml:space="preserve">de huidige waarde: hoeveel kan ik lenen?</t>
  </si>
  <si>
    <t xml:space="preserve">RENTE</t>
  </si>
  <si>
    <t xml:space="preserve">het rentepercentage (niet nodig voor deze oefening)</t>
  </si>
  <si>
    <t xml:space="preserve">TW</t>
  </si>
  <si>
    <t xml:space="preserve">de toekomstige waarde (niet nodig voor deze oefening)</t>
  </si>
  <si>
    <t xml:space="preserve">Let op: een bedrag dat je betaalt is negatief, een bedrag dat je ontvangt positief. Rente en looptijd moeten over dezelfde periode gaan.</t>
  </si>
  <si>
    <t xml:space="preserve">Oefening 2 — Sparen in plaats van lenen</t>
  </si>
  <si>
    <t xml:space="preserve">In plaats van te lenen zet ik elke maand een bedrag opzij. Gebruik TW (toekomstige waarde) om te berekenen hoeveel ik dan bij elkaar spaar.</t>
  </si>
  <si>
    <t xml:space="preserve">Bedrag dat ik elke maand opzijzet:</t>
  </si>
  <si>
    <t xml:space="preserve">Jaarlijkse rente op mijn spaarrekening:</t>
  </si>
  <si>
    <t xml:space="preserve">Aantal jaren dat ik spaar:</t>
  </si>
  <si>
    <t xml:space="preserve">Hoeveel staat er na die jaren op mijn rekening?</t>
  </si>
  <si>
    <t xml:space="preserve">Hoeveel heb ik er zelf op gestort?</t>
  </si>
  <si>
    <t xml:space="preserve">Hoeveel daarvan is intrest?</t>
  </si>
  <si>
    <t xml:space="preserve">Denkvraag: vergelijk met oefening 1. Kan ik na 5 jaar sparen de wagen van € 16.000 kopen? Schrijf je antwoord in één zin.</t>
  </si>
  <si>
    <t xml:space="preserve">Oefening 3 — Een pc samenstellen met VERT.ZOEKEN</t>
  </si>
  <si>
    <t xml:space="preserve">Hieronder staat de configuratie van een pc. Vul enkel de artikelcode en het aantal in; de omschrijving en de prijs haal je op uit het blad Gegevens.</t>
  </si>
  <si>
    <t xml:space="preserve">Code</t>
  </si>
  <si>
    <t xml:space="preserve">Onderdeel</t>
  </si>
  <si>
    <t xml:space="preserve">Prijs</t>
  </si>
  <si>
    <t xml:space="preserve">Aantal</t>
  </si>
  <si>
    <t xml:space="preserve">Totaal</t>
  </si>
  <si>
    <t xml:space="preserve">Opmerking</t>
  </si>
  <si>
    <t xml:space="preserve">CPU-01</t>
  </si>
  <si>
    <t xml:space="preserve">voorbeeld — kijk hoe het werkt</t>
  </si>
  <si>
    <t xml:space="preserve">MOB-02</t>
  </si>
  <si>
    <t xml:space="preserve">RAM-16</t>
  </si>
  <si>
    <t xml:space="preserve">SSD-1T</t>
  </si>
  <si>
    <t xml:space="preserve">GPU-03</t>
  </si>
  <si>
    <t xml:space="preserve">PSU-650</t>
  </si>
  <si>
    <t xml:space="preserve">CAS-01</t>
  </si>
  <si>
    <t xml:space="preserve">GPU-99</t>
  </si>
  <si>
    <t xml:space="preserve">deze code bestaat niet — vang de fout netjes op</t>
  </si>
  <si>
    <t xml:space="preserve">Totaalprijs van de pc</t>
  </si>
  <si>
    <t xml:space="preserve">Aantal onderdelen</t>
  </si>
  <si>
    <t xml:space="preserve">Gemiddelde prijs per onderdeel</t>
  </si>
  <si>
    <t xml:space="preserve">Duurste onderdeel in deze lijst</t>
  </si>
  <si>
    <t xml:space="preserve">Opmaak (doe dit pas als je formules werken)</t>
  </si>
  <si>
    <t xml:space="preserve">• Zet een dikke buitenrand rond de tabel en maak de koprij vet met een lichte achtergrond.
• Toon alle bedragen in euro met twee decimalen.
• Kleur met voorwaardelijke opmaak elke rij waarvan het totaal hoger is dan € 150.
• Sorteer de tabel van duur naar goedkoop — selecteer het volledige bereik, niet één kolom.</t>
  </si>
  <si>
    <t xml:space="preserve">Oefening 4 — Prijsevolutie met HORIZ.ZOEKEN</t>
  </si>
  <si>
    <t xml:space="preserve">Op het blad Gegevens staat de gemiddelde prijs van een videokaart per kwartaal, naast elkaar. Zoek de cijfers op zonder ze over te typen.</t>
  </si>
  <si>
    <t xml:space="preserve">Vraag</t>
  </si>
  <si>
    <t xml:space="preserve">Kwartaal</t>
  </si>
  <si>
    <t xml:space="preserve">Antwoord</t>
  </si>
  <si>
    <t xml:space="preserve">Gemiddelde prijs videokaart  (HORIZ.ZOEKEN)</t>
  </si>
  <si>
    <t xml:space="preserve">Q3</t>
  </si>
  <si>
    <t xml:space="preserve">Aantal verkochte videokaarten in dat kwartaal</t>
  </si>
  <si>
    <t xml:space="preserve">Gemiddelde prijs over het hele jaar</t>
  </si>
  <si>
    <t xml:space="preserve">Duurste kwartaal  (tip: MAX)</t>
  </si>
  <si>
    <t xml:space="preserve">Verschil tussen het duurste en het goedkoopste kwartaal</t>
  </si>
  <si>
    <t xml:space="preserve">Diagram</t>
  </si>
  <si>
    <t xml:space="preserve">Maak een lijndiagram van de gemiddelde prijs per kwartaal, met een duidelijke titel en een astitel met de eenheid. Maak daarnaast een kolomdiagram van het aantal verkochte stuks.</t>
  </si>
  <si>
    <t xml:space="preserve">Oefening 5 — XLOOKUP en kortingschijven</t>
  </si>
  <si>
    <t xml:space="preserve">Dezelfde opzoeking, maar met de moderne functie. En een korting die afhangt van het aantal stuks dat de winkel bestelt.</t>
  </si>
  <si>
    <t xml:space="preserve">Deel 1 — XLOOKUP</t>
  </si>
  <si>
    <t xml:space="preserve">Artikelcode</t>
  </si>
  <si>
    <t xml:space="preserve">SSD-2T</t>
  </si>
  <si>
    <t xml:space="preserve">Onderdeel  (met XLOOKUP)</t>
  </si>
  <si>
    <t xml:space="preserve">Prijs  (met XLOOKUP)</t>
  </si>
  <si>
    <t xml:space="preserve">Zoek nu de code bij het onderdeel 'Voeding 650 W 80+ Gold'.</t>
  </si>
  <si>
    <t xml:space="preserve">Waarom lukt die laatste opzoeking niet met VERT.ZOEKEN?</t>
  </si>
  <si>
    <t xml:space="preserve">Deel 2 — kortingschijven</t>
  </si>
  <si>
    <t xml:space="preserve">De winkel koopt in bij de groothandel en krijgt korting vanaf een bepaald aantal stuks. Hier zoek je niet exact, maar benaderend: in welke schijf valt het aantal?</t>
  </si>
  <si>
    <t xml:space="preserve">Aantal stuks</t>
  </si>
  <si>
    <t xml:space="preserve">Korting</t>
  </si>
  <si>
    <t xml:space="preserve">Bedrag voor korting</t>
  </si>
  <si>
    <t xml:space="preserve">Te betalen</t>
  </si>
  <si>
    <t xml:space="preserve">Gegevens — niet wijzigen</t>
  </si>
  <si>
    <t xml:space="preserve">Computeronderdelen</t>
  </si>
  <si>
    <t xml:space="preserve">Kortingschijven groothandel</t>
  </si>
  <si>
    <t xml:space="preserve">Vanaf aantal</t>
  </si>
  <si>
    <t xml:space="preserve">Behuizing midi-tower met glazen zijpaneel</t>
  </si>
  <si>
    <t xml:space="preserve">Processor 6 cores, 4,1 GHz</t>
  </si>
  <si>
    <t xml:space="preserve">CPU-02</t>
  </si>
  <si>
    <t xml:space="preserve">Processor 8 cores, 4,5 GHz</t>
  </si>
  <si>
    <t xml:space="preserve">CPU-03</t>
  </si>
  <si>
    <t xml:space="preserve">Processor 12 cores, 5,0 GHz</t>
  </si>
  <si>
    <t xml:space="preserve">GPU-01</t>
  </si>
  <si>
    <t xml:space="preserve">Videokaart 8 GB instapmodel</t>
  </si>
  <si>
    <t xml:space="preserve">GPU-02</t>
  </si>
  <si>
    <t xml:space="preserve">Videokaart 12 GB middenklasse</t>
  </si>
  <si>
    <t xml:space="preserve">Videokaart 16 GB high-end</t>
  </si>
  <si>
    <t xml:space="preserve">oplopend gesorteerd — nodig voor benaderend zoeken</t>
  </si>
  <si>
    <t xml:space="preserve">HDD-4T</t>
  </si>
  <si>
    <t xml:space="preserve">Harde schijf 4 TB 7200 rpm</t>
  </si>
  <si>
    <t xml:space="preserve">MOB-01</t>
  </si>
  <si>
    <t xml:space="preserve">Moederbord micro-ATX</t>
  </si>
  <si>
    <t xml:space="preserve">Moederbord ATX met wifi</t>
  </si>
  <si>
    <t xml:space="preserve">Voeding 650 W 80+ Gold</t>
  </si>
  <si>
    <t xml:space="preserve">Geheugen 16 GB DDR5</t>
  </si>
  <si>
    <t xml:space="preserve">SSD 1 TB NVMe</t>
  </si>
  <si>
    <t xml:space="preserve">SSD 2 TB NVMe</t>
  </si>
  <si>
    <t xml:space="preserve">Gemiddelde prijs videokaarten per kwartaal</t>
  </si>
  <si>
    <t xml:space="preserve">Q1</t>
  </si>
  <si>
    <t xml:space="preserve">Q2</t>
  </si>
  <si>
    <t xml:space="preserve">Q4</t>
  </si>
  <si>
    <t xml:space="preserve">Gemiddelde prijs</t>
  </si>
  <si>
    <t xml:space="preserve">Verkochte stuks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</si>
</sst>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€ &quot;#,##0"/>
    <numFmt numFmtId="166" formatCode="0.0%"/>
    <numFmt numFmtId="167" formatCode="&quot;€ &quot;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i val="true"/>
      <sz val="11"/>
      <color rgb="FF7A8699"/>
      <name val="Arial"/>
      <family val="0"/>
      <charset val="1"/>
    </font>
    <font>
      <i val="true"/>
      <sz val="9"/>
      <color rgb="FF7A869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CE6F5"/>
        <bgColor rgb="FFEDF0F5"/>
      </patternFill>
    </fill>
    <fill>
      <patternFill patternType="solid">
        <fgColor rgb="FFFFF2A8"/>
        <bgColor rgb="FFFFFFCC"/>
      </patternFill>
    </fill>
    <fill>
      <patternFill patternType="solid">
        <fgColor rgb="FFBDD7EE"/>
        <bgColor rgb="FFDCE6F5"/>
      </patternFill>
    </fill>
    <fill>
      <patternFill patternType="solid">
        <fgColor rgb="FFC6E0B4"/>
        <bgColor rgb="FFBDD7EE"/>
      </patternFill>
    </fill>
    <fill>
      <patternFill patternType="solid">
        <fgColor rgb="FFEDF0F5"/>
        <bgColor rgb="FFDCE6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7A8699"/>
      </left>
      <right style="thin">
        <color rgb="FF7A8699"/>
      </right>
      <top style="thin">
        <color rgb="FF7A8699"/>
      </top>
      <bottom style="thin">
        <color rgb="FF7A86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F0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7A8699"/>
      <rgbColor rgb="FF9999FF"/>
      <rgbColor rgb="FF993366"/>
      <rgbColor rgb="FFFFFFCC"/>
      <rgbColor rgb="FFDCE6F5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2"/>
    <col collapsed="false" customWidth="true" hidden="false" outlineLevel="0" max="5" min="3" style="0" width="16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3"/>
    </row>
    <row r="5" customFormat="false" ht="15" hidden="false" customHeight="false" outlineLevel="0" collapsed="false">
      <c r="A5" s="4" t="s">
        <v>2</v>
      </c>
    </row>
    <row r="6" customFormat="false" ht="15" hidden="false" customHeight="true" outlineLevel="0" collapsed="false">
      <c r="A6" s="5" t="s">
        <v>3</v>
      </c>
      <c r="B6" s="5"/>
      <c r="C6" s="5"/>
      <c r="D6" s="5"/>
      <c r="E6" s="5"/>
    </row>
    <row r="7" customFormat="false" ht="15" hidden="false" customHeight="false" outlineLevel="0" collapsed="false">
      <c r="A7" s="5"/>
      <c r="B7" s="5"/>
      <c r="C7" s="5"/>
      <c r="D7" s="5"/>
      <c r="E7" s="5"/>
    </row>
    <row r="8" customFormat="false" ht="15" hidden="false" customHeight="false" outlineLevel="0" collapsed="false">
      <c r="A8" s="5"/>
      <c r="B8" s="5"/>
      <c r="C8" s="5"/>
      <c r="D8" s="5"/>
      <c r="E8" s="5"/>
    </row>
    <row r="9" customFormat="false" ht="15" hidden="false" customHeight="false" outlineLevel="0" collapsed="false">
      <c r="A9" s="5"/>
      <c r="B9" s="5"/>
      <c r="C9" s="5"/>
      <c r="D9" s="5"/>
      <c r="E9" s="5"/>
    </row>
    <row r="11" customFormat="false" ht="15" hidden="false" customHeight="false" outlineLevel="0" collapsed="false">
      <c r="A11" s="4" t="s">
        <v>4</v>
      </c>
    </row>
    <row r="12" customFormat="false" ht="15" hidden="false" customHeight="false" outlineLevel="0" collapsed="false">
      <c r="A12" s="3"/>
      <c r="B12" s="6" t="s">
        <v>5</v>
      </c>
    </row>
    <row r="13" customFormat="false" ht="15" hidden="false" customHeight="false" outlineLevel="0" collapsed="false">
      <c r="A13" s="7"/>
      <c r="B13" s="6" t="s">
        <v>6</v>
      </c>
    </row>
    <row r="14" customFormat="false" ht="15" hidden="false" customHeight="false" outlineLevel="0" collapsed="false">
      <c r="A14" s="8"/>
      <c r="B14" s="6" t="s">
        <v>7</v>
      </c>
    </row>
    <row r="15" customFormat="false" ht="15" hidden="false" customHeight="false" outlineLevel="0" collapsed="false">
      <c r="A15" s="9" t="s">
        <v>8</v>
      </c>
      <c r="B15" s="6" t="s">
        <v>9</v>
      </c>
    </row>
    <row r="17" customFormat="false" ht="15" hidden="false" customHeight="false" outlineLevel="0" collapsed="false">
      <c r="A17" s="4" t="s">
        <v>10</v>
      </c>
    </row>
    <row r="18" customFormat="false" ht="15" hidden="false" customHeight="true" outlineLevel="0" collapsed="false">
      <c r="A18" s="5" t="s">
        <v>11</v>
      </c>
      <c r="B18" s="5"/>
      <c r="C18" s="5"/>
      <c r="D18" s="5"/>
      <c r="E18" s="5"/>
    </row>
    <row r="19" customFormat="false" ht="15" hidden="false" customHeight="false" outlineLevel="0" collapsed="false">
      <c r="A19" s="5"/>
      <c r="B19" s="5"/>
      <c r="C19" s="5"/>
      <c r="D19" s="5"/>
      <c r="E19" s="5"/>
    </row>
  </sheetData>
  <mergeCells count="3">
    <mergeCell ref="A1:E1"/>
    <mergeCell ref="A6:E9"/>
    <mergeCell ref="A18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20"/>
    <col collapsed="false" customWidth="true" hidden="false" outlineLevel="0" max="4" min="4" style="0" width="24"/>
  </cols>
  <sheetData>
    <row r="1" customFormat="false" ht="24" hidden="false" customHeight="true" outlineLevel="0" collapsed="false">
      <c r="A1" s="1" t="s">
        <v>12</v>
      </c>
      <c r="B1" s="1"/>
      <c r="C1" s="1"/>
      <c r="D1" s="1"/>
    </row>
    <row r="3" customFormat="false" ht="15" hidden="false" customHeight="true" outlineLevel="0" collapsed="false">
      <c r="A3" s="5" t="s">
        <v>13</v>
      </c>
      <c r="B3" s="5"/>
      <c r="C3" s="5"/>
      <c r="D3" s="5"/>
    </row>
    <row r="4" customFormat="false" ht="15" hidden="false" customHeight="true" outlineLevel="0" collapsed="false">
      <c r="A4" s="5" t="s">
        <v>14</v>
      </c>
      <c r="B4" s="5"/>
      <c r="C4" s="5"/>
      <c r="D4" s="5"/>
    </row>
    <row r="5" customFormat="false" ht="15" hidden="false" customHeight="false" outlineLevel="0" collapsed="false">
      <c r="A5" s="5"/>
      <c r="B5" s="5"/>
      <c r="C5" s="5"/>
      <c r="D5" s="5"/>
    </row>
    <row r="7" customFormat="false" ht="15" hidden="false" customHeight="false" outlineLevel="0" collapsed="false">
      <c r="A7" s="10" t="s">
        <v>15</v>
      </c>
      <c r="B7" s="11" t="n">
        <v>16000</v>
      </c>
    </row>
    <row r="8" customFormat="false" ht="15" hidden="false" customHeight="false" outlineLevel="0" collapsed="false">
      <c r="A8" s="10" t="s">
        <v>16</v>
      </c>
      <c r="B8" s="12" t="n">
        <v>0.03</v>
      </c>
    </row>
    <row r="9" customFormat="false" ht="15" hidden="false" customHeight="false" outlineLevel="0" collapsed="false">
      <c r="A9" s="10" t="s">
        <v>17</v>
      </c>
      <c r="B9" s="10" t="n">
        <v>5</v>
      </c>
    </row>
    <row r="10" customFormat="false" ht="15" hidden="false" customHeight="false" outlineLevel="0" collapsed="false">
      <c r="A10" s="10" t="s">
        <v>18</v>
      </c>
      <c r="B10" s="13"/>
    </row>
    <row r="11" customFormat="false" ht="15" hidden="false" customHeight="false" outlineLevel="0" collapsed="false">
      <c r="A11" s="10" t="s">
        <v>19</v>
      </c>
      <c r="B11" s="14" t="n">
        <v>-200</v>
      </c>
    </row>
    <row r="12" customFormat="false" ht="15" hidden="false" customHeight="false" outlineLevel="0" collapsed="false">
      <c r="A12" s="10" t="s">
        <v>20</v>
      </c>
      <c r="B12" s="15"/>
    </row>
    <row r="13" customFormat="false" ht="15" hidden="false" customHeight="false" outlineLevel="0" collapsed="false">
      <c r="A13" s="10" t="s">
        <v>21</v>
      </c>
      <c r="B13" s="16"/>
    </row>
    <row r="15" customFormat="false" ht="15" hidden="false" customHeight="false" outlineLevel="0" collapsed="false">
      <c r="A15" s="4" t="s">
        <v>22</v>
      </c>
    </row>
    <row r="16" customFormat="false" ht="15" hidden="false" customHeight="false" outlineLevel="0" collapsed="false">
      <c r="A16" s="10" t="s">
        <v>23</v>
      </c>
      <c r="B16" s="15"/>
    </row>
    <row r="17" customFormat="false" ht="15" hidden="false" customHeight="false" outlineLevel="0" collapsed="false">
      <c r="A17" s="10" t="s">
        <v>24</v>
      </c>
      <c r="B17" s="15"/>
    </row>
    <row r="18" customFormat="false" ht="15" hidden="false" customHeight="false" outlineLevel="0" collapsed="false">
      <c r="A18" s="10" t="s">
        <v>25</v>
      </c>
      <c r="B18" s="15"/>
    </row>
    <row r="20" customFormat="false" ht="15" hidden="false" customHeight="false" outlineLevel="0" collapsed="false">
      <c r="A20" s="4" t="s">
        <v>26</v>
      </c>
    </row>
    <row r="21" customFormat="false" ht="15" hidden="false" customHeight="false" outlineLevel="0" collapsed="false">
      <c r="A21" s="17" t="s">
        <v>27</v>
      </c>
      <c r="B21" s="10" t="s">
        <v>28</v>
      </c>
      <c r="C21" s="10"/>
      <c r="D21" s="10"/>
    </row>
    <row r="22" customFormat="false" ht="15" hidden="false" customHeight="false" outlineLevel="0" collapsed="false">
      <c r="A22" s="17" t="s">
        <v>29</v>
      </c>
      <c r="B22" s="10" t="s">
        <v>30</v>
      </c>
      <c r="C22" s="10"/>
      <c r="D22" s="10"/>
    </row>
    <row r="23" customFormat="false" ht="15" hidden="false" customHeight="false" outlineLevel="0" collapsed="false">
      <c r="A23" s="17" t="s">
        <v>31</v>
      </c>
      <c r="B23" s="10" t="s">
        <v>32</v>
      </c>
      <c r="C23" s="10"/>
      <c r="D23" s="10"/>
    </row>
    <row r="24" customFormat="false" ht="15" hidden="false" customHeight="false" outlineLevel="0" collapsed="false">
      <c r="A24" s="17" t="s">
        <v>33</v>
      </c>
      <c r="B24" s="10" t="s">
        <v>34</v>
      </c>
      <c r="C24" s="10"/>
      <c r="D24" s="10"/>
    </row>
    <row r="26" customFormat="false" ht="15" hidden="false" customHeight="true" outlineLevel="0" collapsed="false">
      <c r="A26" s="18" t="s">
        <v>35</v>
      </c>
      <c r="B26" s="18"/>
      <c r="C26" s="18"/>
      <c r="D26" s="18"/>
    </row>
    <row r="27" customFormat="false" ht="15" hidden="false" customHeight="false" outlineLevel="0" collapsed="false">
      <c r="A27" s="18"/>
      <c r="B27" s="18"/>
      <c r="C27" s="18"/>
      <c r="D27" s="18"/>
    </row>
  </sheetData>
  <mergeCells count="8">
    <mergeCell ref="A1:D1"/>
    <mergeCell ref="A3:D3"/>
    <mergeCell ref="A4:D5"/>
    <mergeCell ref="B21:D21"/>
    <mergeCell ref="B22:D22"/>
    <mergeCell ref="B23:D23"/>
    <mergeCell ref="B24:D24"/>
    <mergeCell ref="A26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20"/>
    <col collapsed="false" customWidth="true" hidden="false" outlineLevel="0" max="4" min="4" style="0" width="24"/>
  </cols>
  <sheetData>
    <row r="1" customFormat="false" ht="24" hidden="false" customHeight="true" outlineLevel="0" collapsed="false">
      <c r="A1" s="1" t="s">
        <v>36</v>
      </c>
      <c r="B1" s="1"/>
      <c r="C1" s="1"/>
      <c r="D1" s="1"/>
    </row>
    <row r="3" customFormat="false" ht="15" hidden="false" customHeight="true" outlineLevel="0" collapsed="false">
      <c r="A3" s="5" t="s">
        <v>37</v>
      </c>
      <c r="B3" s="5"/>
      <c r="C3" s="5"/>
      <c r="D3" s="5"/>
    </row>
    <row r="4" customFormat="false" ht="15" hidden="false" customHeight="false" outlineLevel="0" collapsed="false">
      <c r="A4" s="5"/>
      <c r="B4" s="5"/>
      <c r="C4" s="5"/>
      <c r="D4" s="5"/>
    </row>
    <row r="6" customFormat="false" ht="15" hidden="false" customHeight="false" outlineLevel="0" collapsed="false">
      <c r="A6" s="10" t="s">
        <v>38</v>
      </c>
      <c r="B6" s="14" t="n">
        <v>-200</v>
      </c>
    </row>
    <row r="7" customFormat="false" ht="15" hidden="false" customHeight="false" outlineLevel="0" collapsed="false">
      <c r="A7" s="10" t="s">
        <v>39</v>
      </c>
      <c r="B7" s="12" t="n">
        <v>0.02</v>
      </c>
    </row>
    <row r="8" customFormat="false" ht="15" hidden="false" customHeight="false" outlineLevel="0" collapsed="false">
      <c r="A8" s="10" t="s">
        <v>40</v>
      </c>
      <c r="B8" s="10" t="n">
        <v>5</v>
      </c>
    </row>
    <row r="9" customFormat="false" ht="15" hidden="false" customHeight="false" outlineLevel="0" collapsed="false">
      <c r="A9" s="10" t="s">
        <v>41</v>
      </c>
      <c r="B9" s="15"/>
    </row>
    <row r="10" customFormat="false" ht="15" hidden="false" customHeight="false" outlineLevel="0" collapsed="false">
      <c r="A10" s="10" t="s">
        <v>42</v>
      </c>
      <c r="B10" s="15"/>
    </row>
    <row r="11" customFormat="false" ht="15" hidden="false" customHeight="false" outlineLevel="0" collapsed="false">
      <c r="A11" s="10" t="s">
        <v>43</v>
      </c>
      <c r="B11" s="15"/>
    </row>
    <row r="13" customFormat="false" ht="15" hidden="false" customHeight="true" outlineLevel="0" collapsed="false">
      <c r="A13" s="19" t="s">
        <v>44</v>
      </c>
      <c r="B13" s="19"/>
      <c r="C13" s="19"/>
      <c r="D13" s="19"/>
    </row>
    <row r="14" customFormat="false" ht="15" hidden="false" customHeight="false" outlineLevel="0" collapsed="false">
      <c r="A14" s="19"/>
      <c r="B14" s="19"/>
      <c r="C14" s="19"/>
      <c r="D14" s="19"/>
    </row>
    <row r="15" customFormat="false" ht="15" hidden="false" customHeight="false" outlineLevel="0" collapsed="false">
      <c r="A15" s="20"/>
      <c r="B15" s="20"/>
      <c r="C15" s="20"/>
      <c r="D15" s="20"/>
    </row>
    <row r="16" customFormat="false" ht="15" hidden="false" customHeight="false" outlineLevel="0" collapsed="false">
      <c r="A16" s="20"/>
      <c r="B16" s="20"/>
      <c r="C16" s="20"/>
      <c r="D16" s="20"/>
    </row>
    <row r="17" customFormat="false" ht="15" hidden="false" customHeight="false" outlineLevel="0" collapsed="false">
      <c r="A17" s="20"/>
      <c r="B17" s="20"/>
      <c r="C17" s="20"/>
      <c r="D17" s="20"/>
    </row>
  </sheetData>
  <mergeCells count="4">
    <mergeCell ref="A1:D1"/>
    <mergeCell ref="A3:D4"/>
    <mergeCell ref="A13:D14"/>
    <mergeCell ref="A15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26"/>
  </cols>
  <sheetData>
    <row r="1" customFormat="false" ht="24" hidden="false" customHeight="true" outlineLevel="0" collapsed="false">
      <c r="A1" s="1" t="s">
        <v>45</v>
      </c>
      <c r="B1" s="1"/>
      <c r="C1" s="1"/>
      <c r="D1" s="1"/>
      <c r="E1" s="1"/>
      <c r="F1" s="1"/>
    </row>
    <row r="3" customFormat="false" ht="15" hidden="false" customHeight="true" outlineLevel="0" collapsed="false">
      <c r="A3" s="5" t="s">
        <v>46</v>
      </c>
      <c r="B3" s="5"/>
      <c r="C3" s="5"/>
      <c r="D3" s="5"/>
      <c r="E3" s="5"/>
      <c r="F3" s="5"/>
    </row>
    <row r="4" customFormat="false" ht="15" hidden="false" customHeight="false" outlineLevel="0" collapsed="false">
      <c r="A4" s="5"/>
      <c r="B4" s="5"/>
      <c r="C4" s="5"/>
      <c r="D4" s="5"/>
      <c r="E4" s="5"/>
      <c r="F4" s="5"/>
    </row>
    <row r="6" customFormat="false" ht="15" hidden="false" customHeight="false" outlineLevel="0" collapsed="false">
      <c r="A6" s="21" t="s">
        <v>47</v>
      </c>
      <c r="B6" s="21" t="s">
        <v>48</v>
      </c>
      <c r="C6" s="21" t="s">
        <v>49</v>
      </c>
      <c r="D6" s="21" t="s">
        <v>50</v>
      </c>
      <c r="E6" s="21" t="s">
        <v>51</v>
      </c>
      <c r="F6" s="21" t="s">
        <v>52</v>
      </c>
    </row>
    <row r="7" customFormat="false" ht="15" hidden="false" customHeight="false" outlineLevel="0" collapsed="false">
      <c r="A7" s="22" t="s">
        <v>53</v>
      </c>
      <c r="B7" s="22" t="str">
        <f aca="false">IFERROR(VLOOKUP($A7,Gegevens!$A$5:$C$18,2,FALSE()),"niet gevonden")</f>
        <v>Processor 6 cores, 4,1 GHz</v>
      </c>
      <c r="C7" s="23" t="n">
        <f aca="false">IFERROR(VLOOKUP($A7,Gegevens!$A$5:$C$18,3,FALSE()),0)</f>
        <v>189</v>
      </c>
      <c r="D7" s="22" t="n">
        <v>1</v>
      </c>
      <c r="E7" s="23" t="n">
        <f aca="false">C7*D7</f>
        <v>189</v>
      </c>
      <c r="F7" s="22" t="s">
        <v>54</v>
      </c>
    </row>
    <row r="8" customFormat="false" ht="15" hidden="false" customHeight="false" outlineLevel="0" collapsed="false">
      <c r="A8" s="10" t="s">
        <v>55</v>
      </c>
      <c r="B8" s="3"/>
      <c r="C8" s="15"/>
      <c r="D8" s="10" t="n">
        <v>1</v>
      </c>
      <c r="E8" s="15"/>
      <c r="F8" s="10"/>
    </row>
    <row r="9" customFormat="false" ht="15" hidden="false" customHeight="false" outlineLevel="0" collapsed="false">
      <c r="A9" s="10" t="s">
        <v>56</v>
      </c>
      <c r="B9" s="3"/>
      <c r="C9" s="15"/>
      <c r="D9" s="10" t="n">
        <v>2</v>
      </c>
      <c r="E9" s="15"/>
      <c r="F9" s="10"/>
    </row>
    <row r="10" customFormat="false" ht="15" hidden="false" customHeight="false" outlineLevel="0" collapsed="false">
      <c r="A10" s="10" t="s">
        <v>57</v>
      </c>
      <c r="B10" s="3"/>
      <c r="C10" s="15"/>
      <c r="D10" s="10" t="n">
        <v>1</v>
      </c>
      <c r="E10" s="15"/>
      <c r="F10" s="10"/>
    </row>
    <row r="11" customFormat="false" ht="15" hidden="false" customHeight="false" outlineLevel="0" collapsed="false">
      <c r="A11" s="10" t="s">
        <v>58</v>
      </c>
      <c r="B11" s="3"/>
      <c r="C11" s="15"/>
      <c r="D11" s="10" t="n">
        <v>1</v>
      </c>
      <c r="E11" s="15"/>
      <c r="F11" s="10"/>
    </row>
    <row r="12" customFormat="false" ht="15" hidden="false" customHeight="false" outlineLevel="0" collapsed="false">
      <c r="A12" s="10" t="s">
        <v>59</v>
      </c>
      <c r="B12" s="3"/>
      <c r="C12" s="15"/>
      <c r="D12" s="10" t="n">
        <v>1</v>
      </c>
      <c r="E12" s="15"/>
      <c r="F12" s="10"/>
    </row>
    <row r="13" customFormat="false" ht="15" hidden="false" customHeight="false" outlineLevel="0" collapsed="false">
      <c r="A13" s="10" t="s">
        <v>60</v>
      </c>
      <c r="B13" s="3"/>
      <c r="C13" s="15"/>
      <c r="D13" s="10" t="n">
        <v>1</v>
      </c>
      <c r="E13" s="15"/>
      <c r="F13" s="10"/>
    </row>
    <row r="14" customFormat="false" ht="15" hidden="false" customHeight="false" outlineLevel="0" collapsed="false">
      <c r="A14" s="10" t="s">
        <v>61</v>
      </c>
      <c r="B14" s="3"/>
      <c r="C14" s="15"/>
      <c r="D14" s="10" t="n">
        <v>1</v>
      </c>
      <c r="E14" s="15"/>
      <c r="F14" s="22" t="s">
        <v>62</v>
      </c>
    </row>
    <row r="16" customFormat="false" ht="15" hidden="false" customHeight="false" outlineLevel="0" collapsed="false">
      <c r="D16" s="17" t="s">
        <v>63</v>
      </c>
      <c r="E16" s="15"/>
    </row>
    <row r="17" customFormat="false" ht="15" hidden="false" customHeight="false" outlineLevel="0" collapsed="false">
      <c r="D17" s="17" t="s">
        <v>64</v>
      </c>
      <c r="E17" s="3"/>
    </row>
    <row r="18" customFormat="false" ht="15" hidden="false" customHeight="false" outlineLevel="0" collapsed="false">
      <c r="D18" s="17" t="s">
        <v>65</v>
      </c>
      <c r="E18" s="15"/>
    </row>
    <row r="19" customFormat="false" ht="15" hidden="false" customHeight="false" outlineLevel="0" collapsed="false">
      <c r="D19" s="17" t="s">
        <v>66</v>
      </c>
      <c r="E19" s="15"/>
    </row>
    <row r="21" customFormat="false" ht="15" hidden="false" customHeight="false" outlineLevel="0" collapsed="false">
      <c r="A21" s="4" t="s">
        <v>67</v>
      </c>
    </row>
    <row r="22" customFormat="false" ht="15" hidden="false" customHeight="true" outlineLevel="0" collapsed="false">
      <c r="A22" s="5" t="s">
        <v>68</v>
      </c>
      <c r="B22" s="5"/>
      <c r="C22" s="5"/>
      <c r="D22" s="5"/>
      <c r="E22" s="5"/>
      <c r="F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</row>
  </sheetData>
  <mergeCells count="3">
    <mergeCell ref="A1:F1"/>
    <mergeCell ref="A3:F4"/>
    <mergeCell ref="A22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16"/>
  </cols>
  <sheetData>
    <row r="1" customFormat="false" ht="24" hidden="false" customHeight="true" outlineLevel="0" collapsed="false">
      <c r="A1" s="1" t="s">
        <v>69</v>
      </c>
      <c r="B1" s="1"/>
      <c r="C1" s="1"/>
      <c r="D1" s="1"/>
      <c r="E1" s="1"/>
      <c r="F1" s="1"/>
    </row>
    <row r="3" customFormat="false" ht="15" hidden="false" customHeight="true" outlineLevel="0" collapsed="false">
      <c r="A3" s="5" t="s">
        <v>70</v>
      </c>
      <c r="B3" s="5"/>
      <c r="C3" s="5"/>
      <c r="D3" s="5"/>
      <c r="E3" s="5"/>
      <c r="F3" s="5"/>
    </row>
    <row r="4" customFormat="false" ht="15" hidden="false" customHeight="false" outlineLevel="0" collapsed="false">
      <c r="A4" s="5"/>
      <c r="B4" s="5"/>
      <c r="C4" s="5"/>
      <c r="D4" s="5"/>
      <c r="E4" s="5"/>
      <c r="F4" s="5"/>
    </row>
    <row r="6" customFormat="false" ht="15" hidden="false" customHeight="false" outlineLevel="0" collapsed="false">
      <c r="A6" s="21" t="s">
        <v>71</v>
      </c>
      <c r="B6" s="21" t="s">
        <v>72</v>
      </c>
      <c r="C6" s="21" t="s">
        <v>73</v>
      </c>
    </row>
    <row r="7" customFormat="false" ht="15" hidden="false" customHeight="false" outlineLevel="0" collapsed="false">
      <c r="A7" s="10" t="s">
        <v>74</v>
      </c>
      <c r="B7" s="3" t="s">
        <v>75</v>
      </c>
      <c r="C7" s="15"/>
    </row>
    <row r="8" customFormat="false" ht="15" hidden="false" customHeight="false" outlineLevel="0" collapsed="false">
      <c r="A8" s="10" t="s">
        <v>76</v>
      </c>
      <c r="B8" s="10" t="str">
        <f aca="false">B7</f>
        <v>Q3</v>
      </c>
      <c r="C8" s="3"/>
    </row>
    <row r="10" customFormat="false" ht="15" hidden="false" customHeight="false" outlineLevel="0" collapsed="false">
      <c r="A10" s="10" t="s">
        <v>77</v>
      </c>
      <c r="C10" s="15"/>
    </row>
    <row r="11" customFormat="false" ht="15" hidden="false" customHeight="false" outlineLevel="0" collapsed="false">
      <c r="A11" s="10" t="s">
        <v>78</v>
      </c>
      <c r="C11" s="15"/>
    </row>
    <row r="12" customFormat="false" ht="15" hidden="false" customHeight="false" outlineLevel="0" collapsed="false">
      <c r="A12" s="10" t="s">
        <v>79</v>
      </c>
      <c r="C12" s="15"/>
    </row>
    <row r="14" customFormat="false" ht="15" hidden="false" customHeight="false" outlineLevel="0" collapsed="false">
      <c r="A14" s="4" t="s">
        <v>80</v>
      </c>
    </row>
    <row r="15" customFormat="false" ht="15" hidden="false" customHeight="true" outlineLevel="0" collapsed="false">
      <c r="A15" s="5" t="s">
        <v>81</v>
      </c>
      <c r="B15" s="5"/>
      <c r="C15" s="5"/>
      <c r="D15" s="5"/>
      <c r="E15" s="5"/>
      <c r="F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</row>
  </sheetData>
  <mergeCells count="3">
    <mergeCell ref="A1:F1"/>
    <mergeCell ref="A3:F4"/>
    <mergeCell ref="A15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20"/>
    <col collapsed="false" customWidth="true" hidden="false" outlineLevel="0" max="4" min="4" style="0" width="24"/>
  </cols>
  <sheetData>
    <row r="1" customFormat="false" ht="24" hidden="false" customHeight="true" outlineLevel="0" collapsed="false">
      <c r="A1" s="1" t="s">
        <v>82</v>
      </c>
      <c r="B1" s="1"/>
      <c r="C1" s="1"/>
      <c r="D1" s="1"/>
    </row>
    <row r="3" customFormat="false" ht="15" hidden="false" customHeight="true" outlineLevel="0" collapsed="false">
      <c r="A3" s="5" t="s">
        <v>83</v>
      </c>
      <c r="B3" s="5"/>
      <c r="C3" s="5"/>
      <c r="D3" s="5"/>
    </row>
    <row r="4" customFormat="false" ht="15" hidden="false" customHeight="false" outlineLevel="0" collapsed="false">
      <c r="A4" s="5"/>
      <c r="B4" s="5"/>
      <c r="C4" s="5"/>
      <c r="D4" s="5"/>
    </row>
    <row r="6" customFormat="false" ht="15" hidden="false" customHeight="false" outlineLevel="0" collapsed="false">
      <c r="A6" s="4" t="s">
        <v>84</v>
      </c>
    </row>
    <row r="7" customFormat="false" ht="15" hidden="false" customHeight="false" outlineLevel="0" collapsed="false">
      <c r="A7" s="21" t="s">
        <v>85</v>
      </c>
      <c r="B7" s="3" t="s">
        <v>86</v>
      </c>
    </row>
    <row r="8" customFormat="false" ht="15" hidden="false" customHeight="false" outlineLevel="0" collapsed="false">
      <c r="A8" s="10" t="s">
        <v>87</v>
      </c>
      <c r="B8" s="3"/>
    </row>
    <row r="9" customFormat="false" ht="15" hidden="false" customHeight="false" outlineLevel="0" collapsed="false">
      <c r="A9" s="10" t="s">
        <v>88</v>
      </c>
      <c r="B9" s="15"/>
    </row>
    <row r="10" customFormat="false" ht="15" hidden="false" customHeight="false" outlineLevel="0" collapsed="false">
      <c r="A10" s="10" t="s">
        <v>89</v>
      </c>
      <c r="B10" s="3"/>
    </row>
    <row r="11" customFormat="false" ht="26.85" hidden="false" customHeight="false" outlineLevel="0" collapsed="false">
      <c r="A11" s="24" t="s">
        <v>90</v>
      </c>
      <c r="B11" s="20"/>
      <c r="C11" s="20"/>
      <c r="D11" s="20"/>
    </row>
    <row r="12" customFormat="false" ht="15" hidden="false" customHeight="false" outlineLevel="0" collapsed="false">
      <c r="B12" s="20"/>
      <c r="C12" s="20"/>
      <c r="D12" s="20"/>
    </row>
    <row r="14" customFormat="false" ht="15" hidden="false" customHeight="false" outlineLevel="0" collapsed="false">
      <c r="A14" s="4" t="s">
        <v>91</v>
      </c>
    </row>
    <row r="15" customFormat="false" ht="15" hidden="false" customHeight="true" outlineLevel="0" collapsed="false">
      <c r="A15" s="5" t="s">
        <v>92</v>
      </c>
      <c r="B15" s="5"/>
      <c r="C15" s="5"/>
      <c r="D15" s="5"/>
    </row>
    <row r="16" customFormat="false" ht="15" hidden="false" customHeight="false" outlineLevel="0" collapsed="false">
      <c r="A16" s="5"/>
      <c r="B16" s="5"/>
      <c r="C16" s="5"/>
      <c r="D16" s="5"/>
    </row>
    <row r="18" customFormat="false" ht="15" hidden="false" customHeight="false" outlineLevel="0" collapsed="false">
      <c r="A18" s="21" t="s">
        <v>93</v>
      </c>
      <c r="B18" s="21" t="s">
        <v>94</v>
      </c>
      <c r="C18" s="21" t="s">
        <v>95</v>
      </c>
      <c r="D18" s="21" t="s">
        <v>96</v>
      </c>
    </row>
    <row r="19" customFormat="false" ht="15" hidden="false" customHeight="false" outlineLevel="0" collapsed="false">
      <c r="A19" s="10" t="n">
        <v>12</v>
      </c>
      <c r="B19" s="25"/>
      <c r="C19" s="14" t="n">
        <v>948</v>
      </c>
      <c r="D19" s="15"/>
    </row>
    <row r="20" customFormat="false" ht="15" hidden="false" customHeight="false" outlineLevel="0" collapsed="false">
      <c r="A20" s="10" t="n">
        <v>34</v>
      </c>
      <c r="B20" s="25"/>
      <c r="C20" s="14" t="n">
        <v>2686</v>
      </c>
      <c r="D20" s="15"/>
    </row>
    <row r="21" customFormat="false" ht="15" hidden="false" customHeight="false" outlineLevel="0" collapsed="false">
      <c r="A21" s="10" t="n">
        <v>73</v>
      </c>
      <c r="B21" s="25"/>
      <c r="C21" s="14" t="n">
        <v>5767</v>
      </c>
      <c r="D21" s="15"/>
    </row>
    <row r="22" customFormat="false" ht="15" hidden="false" customHeight="false" outlineLevel="0" collapsed="false">
      <c r="A22" s="10" t="n">
        <v>150</v>
      </c>
      <c r="B22" s="25"/>
      <c r="C22" s="14" t="n">
        <v>11850</v>
      </c>
      <c r="D22" s="15"/>
    </row>
  </sheetData>
  <mergeCells count="4">
    <mergeCell ref="A1:D1"/>
    <mergeCell ref="A3:D4"/>
    <mergeCell ref="B11:D12"/>
    <mergeCell ref="A15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4"/>
    <col collapsed="false" customWidth="true" hidden="false" outlineLevel="0" max="9" min="8" style="0" width="14"/>
  </cols>
  <sheetData>
    <row r="1" customFormat="false" ht="24" hidden="false" customHeight="true" outlineLevel="0" collapsed="false">
      <c r="A1" s="1" t="s">
        <v>97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4" t="s">
        <v>98</v>
      </c>
      <c r="E3" s="4" t="s">
        <v>99</v>
      </c>
    </row>
    <row r="4" customFormat="false" ht="15" hidden="false" customHeight="false" outlineLevel="0" collapsed="false">
      <c r="A4" s="21" t="s">
        <v>47</v>
      </c>
      <c r="B4" s="21" t="s">
        <v>48</v>
      </c>
      <c r="C4" s="21" t="s">
        <v>49</v>
      </c>
      <c r="E4" s="21" t="s">
        <v>100</v>
      </c>
      <c r="F4" s="21" t="s">
        <v>94</v>
      </c>
    </row>
    <row r="5" customFormat="false" ht="15" hidden="false" customHeight="false" outlineLevel="0" collapsed="false">
      <c r="A5" s="10" t="s">
        <v>60</v>
      </c>
      <c r="B5" s="10" t="s">
        <v>101</v>
      </c>
      <c r="C5" s="14" t="n">
        <v>79</v>
      </c>
      <c r="E5" s="10" t="n">
        <v>0</v>
      </c>
      <c r="F5" s="12" t="n">
        <v>0</v>
      </c>
    </row>
    <row r="6" customFormat="false" ht="15" hidden="false" customHeight="false" outlineLevel="0" collapsed="false">
      <c r="A6" s="10" t="s">
        <v>53</v>
      </c>
      <c r="B6" s="10" t="s">
        <v>102</v>
      </c>
      <c r="C6" s="14" t="n">
        <v>189</v>
      </c>
      <c r="E6" s="10" t="n">
        <v>10</v>
      </c>
      <c r="F6" s="12" t="n">
        <v>0.03</v>
      </c>
    </row>
    <row r="7" customFormat="false" ht="15" hidden="false" customHeight="false" outlineLevel="0" collapsed="false">
      <c r="A7" s="10" t="s">
        <v>103</v>
      </c>
      <c r="B7" s="10" t="s">
        <v>104</v>
      </c>
      <c r="C7" s="14" t="n">
        <v>329</v>
      </c>
      <c r="E7" s="10" t="n">
        <v>25</v>
      </c>
      <c r="F7" s="12" t="n">
        <v>0.07</v>
      </c>
    </row>
    <row r="8" customFormat="false" ht="15" hidden="false" customHeight="false" outlineLevel="0" collapsed="false">
      <c r="A8" s="10" t="s">
        <v>105</v>
      </c>
      <c r="B8" s="10" t="s">
        <v>106</v>
      </c>
      <c r="C8" s="14" t="n">
        <v>549</v>
      </c>
      <c r="E8" s="10" t="n">
        <v>50</v>
      </c>
      <c r="F8" s="12" t="n">
        <v>0.12</v>
      </c>
    </row>
    <row r="9" customFormat="false" ht="15" hidden="false" customHeight="false" outlineLevel="0" collapsed="false">
      <c r="A9" s="10" t="s">
        <v>107</v>
      </c>
      <c r="B9" s="10" t="s">
        <v>108</v>
      </c>
      <c r="C9" s="14" t="n">
        <v>279</v>
      </c>
      <c r="E9" s="10" t="n">
        <v>100</v>
      </c>
      <c r="F9" s="12" t="n">
        <v>0.18</v>
      </c>
    </row>
    <row r="10" customFormat="false" ht="15" hidden="false" customHeight="false" outlineLevel="0" collapsed="false">
      <c r="A10" s="10" t="s">
        <v>109</v>
      </c>
      <c r="B10" s="10" t="s">
        <v>110</v>
      </c>
      <c r="C10" s="14" t="n">
        <v>489</v>
      </c>
    </row>
    <row r="11" customFormat="false" ht="15" hidden="false" customHeight="false" outlineLevel="0" collapsed="false">
      <c r="A11" s="10" t="s">
        <v>58</v>
      </c>
      <c r="B11" s="10" t="s">
        <v>111</v>
      </c>
      <c r="C11" s="14" t="n">
        <v>899</v>
      </c>
      <c r="E11" s="26" t="s">
        <v>112</v>
      </c>
    </row>
    <row r="12" customFormat="false" ht="15" hidden="false" customHeight="false" outlineLevel="0" collapsed="false">
      <c r="A12" s="10" t="s">
        <v>113</v>
      </c>
      <c r="B12" s="10" t="s">
        <v>114</v>
      </c>
      <c r="C12" s="14" t="n">
        <v>94.5</v>
      </c>
    </row>
    <row r="13" customFormat="false" ht="15" hidden="false" customHeight="false" outlineLevel="0" collapsed="false">
      <c r="A13" s="10" t="s">
        <v>115</v>
      </c>
      <c r="B13" s="10" t="s">
        <v>116</v>
      </c>
      <c r="C13" s="14" t="n">
        <v>109</v>
      </c>
    </row>
    <row r="14" customFormat="false" ht="15" hidden="false" customHeight="false" outlineLevel="0" collapsed="false">
      <c r="A14" s="10" t="s">
        <v>55</v>
      </c>
      <c r="B14" s="10" t="s">
        <v>117</v>
      </c>
      <c r="C14" s="14" t="n">
        <v>179</v>
      </c>
    </row>
    <row r="15" customFormat="false" ht="15" hidden="false" customHeight="false" outlineLevel="0" collapsed="false">
      <c r="A15" s="10" t="s">
        <v>59</v>
      </c>
      <c r="B15" s="10" t="s">
        <v>118</v>
      </c>
      <c r="C15" s="14" t="n">
        <v>89</v>
      </c>
    </row>
    <row r="16" customFormat="false" ht="15" hidden="false" customHeight="false" outlineLevel="0" collapsed="false">
      <c r="A16" s="10" t="s">
        <v>56</v>
      </c>
      <c r="B16" s="10" t="s">
        <v>119</v>
      </c>
      <c r="C16" s="14" t="n">
        <v>64</v>
      </c>
    </row>
    <row r="17" customFormat="false" ht="15" hidden="false" customHeight="false" outlineLevel="0" collapsed="false">
      <c r="A17" s="10" t="s">
        <v>57</v>
      </c>
      <c r="B17" s="10" t="s">
        <v>120</v>
      </c>
      <c r="C17" s="14" t="n">
        <v>79</v>
      </c>
    </row>
    <row r="18" customFormat="false" ht="15" hidden="false" customHeight="false" outlineLevel="0" collapsed="false">
      <c r="A18" s="10" t="s">
        <v>86</v>
      </c>
      <c r="B18" s="10" t="s">
        <v>121</v>
      </c>
      <c r="C18" s="14" t="n">
        <v>139</v>
      </c>
    </row>
    <row r="21" customFormat="false" ht="15" hidden="false" customHeight="false" outlineLevel="0" collapsed="false">
      <c r="A21" s="4" t="s">
        <v>122</v>
      </c>
    </row>
    <row r="22" customFormat="false" ht="15" hidden="false" customHeight="false" outlineLevel="0" collapsed="false">
      <c r="A22" s="21" t="s">
        <v>72</v>
      </c>
      <c r="B22" s="17" t="s">
        <v>123</v>
      </c>
      <c r="C22" s="17" t="s">
        <v>124</v>
      </c>
      <c r="D22" s="17" t="s">
        <v>75</v>
      </c>
      <c r="E22" s="17" t="s">
        <v>125</v>
      </c>
    </row>
    <row r="23" customFormat="false" ht="15" hidden="false" customHeight="false" outlineLevel="0" collapsed="false">
      <c r="A23" s="21" t="s">
        <v>126</v>
      </c>
      <c r="B23" s="11" t="n">
        <v>612</v>
      </c>
      <c r="C23" s="11" t="n">
        <v>548</v>
      </c>
      <c r="D23" s="11" t="n">
        <v>497</v>
      </c>
      <c r="E23" s="11" t="n">
        <v>579</v>
      </c>
    </row>
    <row r="24" customFormat="false" ht="15" hidden="false" customHeight="false" outlineLevel="0" collapsed="false">
      <c r="A24" s="21" t="s">
        <v>127</v>
      </c>
      <c r="B24" s="10" t="n">
        <v>184</v>
      </c>
      <c r="C24" s="10" t="n">
        <v>236</v>
      </c>
      <c r="D24" s="10" t="n">
        <v>311</v>
      </c>
      <c r="E24" s="10" t="n">
        <v>402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2026-10-18T22:24:00Z</dcterms:created>
  <dc:creator>openpyxl</dc:creator>
  <dc:description/>
  <dc:language>en-US</dc:language>
  <cp:lastModifiedBy/>
  <dcterms:modified xsi:type="dcterms:W3CDTF">2026-10-18T22:24:00Z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